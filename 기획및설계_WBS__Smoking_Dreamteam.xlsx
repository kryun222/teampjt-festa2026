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TeamPJT\"/>
    </mc:Choice>
  </mc:AlternateContent>
  <xr:revisionPtr revIDLastSave="0" documentId="13_ncr:1_{8EA7DEFE-6931-4EC8-BD3C-7CC977651DF3}" xr6:coauthVersionLast="47" xr6:coauthVersionMax="47" xr10:uidLastSave="{00000000-0000-0000-0000-000000000000}"/>
  <bookViews>
    <workbookView xWindow="4680" yWindow="4680" windowWidth="28800" windowHeight="15345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vkh6WLJTb6cFqwT/gnLcI9Njgp/TrkW7SdLfOipf764="/>
    </ext>
  </extLst>
</workbook>
</file>

<file path=xl/calcChain.xml><?xml version="1.0" encoding="utf-8"?>
<calcChain xmlns="http://schemas.openxmlformats.org/spreadsheetml/2006/main">
  <c r="H15" i="6" l="1"/>
  <c r="H14" i="6"/>
  <c r="H13" i="6"/>
  <c r="H12" i="6"/>
  <c r="H11" i="6"/>
  <c r="H10" i="6"/>
  <c r="H8" i="6"/>
  <c r="H7" i="6"/>
  <c r="H6" i="6"/>
  <c r="H5" i="6"/>
  <c r="G14" i="4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<sst xmlns="http://schemas.openxmlformats.org/spreadsheetml/2006/main" count="358" uniqueCount="271">
  <si>
    <r>
      <rPr>
        <b/>
        <sz val="18"/>
        <color rgb="FFFFFFFF"/>
        <rFont val="Arial"/>
      </rP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</rPr>
      <t xml:space="preserve"> (</t>
    </r>
    <r>
      <rPr>
        <b/>
        <sz val="18"/>
        <color rgb="FFFFFFFF"/>
        <rFont val="맑은 고딕"/>
        <family val="3"/>
        <charset val="129"/>
      </rPr>
      <t>참고용)</t>
    </r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</si>
  <si>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</rPr>
      <t xml:space="preserve"> </t>
    </r>
    <r>
      <rPr>
        <b/>
        <sz val="10"/>
        <color rgb="FF222222"/>
        <rFont val="맑은 고딕"/>
        <family val="3"/>
        <charset val="129"/>
      </rPr>
      <t>목표</t>
    </r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</si>
  <si>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</si>
  <si>
    <t>실습 소재</t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</si>
  <si>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</si>
  <si>
    <t>사용 도구</t>
  </si>
  <si>
    <t>ChatGPT</t>
  </si>
  <si>
    <t>총 소요시간</t>
  </si>
  <si>
    <r>
      <rPr>
        <sz val="10"/>
        <color rgb="FF222222"/>
        <rFont val="Arial"/>
        <family val="2"/>
      </rPr>
      <t>3</t>
    </r>
    <r>
      <rPr>
        <sz val="10"/>
        <color rgb="FF222222"/>
        <rFont val="맑은 고딕"/>
        <family val="3"/>
        <charset val="129"/>
      </rPr>
      <t>시간</t>
    </r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</si>
  <si>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</si>
  <si>
    <t>1_프롬프트가이드(참고)</t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</si>
  <si>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</si>
  <si>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</si>
  <si>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</si>
  <si>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</si>
  <si>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</si>
  <si>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</si>
  <si>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</si>
  <si>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</si>
  <si>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</si>
  <si>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</si>
  <si>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</si>
  <si>
    <t>진행 시 유의사항 (냉철하게 확인할 것)</t>
  </si>
  <si>
    <r>
      <rPr>
        <sz val="10"/>
        <color rgb="FF222222"/>
        <rFont val="Arial"/>
        <family val="2"/>
      </rP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</si>
  <si>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</si>
  <si>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</si>
  <si>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</si>
  <si>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</si>
  <si>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</si>
  <si>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</si>
  <si>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</si>
  <si>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</si>
  <si>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r>
      <rPr>
        <b/>
        <sz val="10"/>
        <color rgb="FF222222"/>
        <rFont val="Noto Sans CJK SC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</rPr>
      <t>요구사항분석</t>
    </r>
  </si>
  <si>
    <t>개발 의뢰 문서(RFP) 핵심요구 추출</t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</si>
  <si>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</si>
  <si>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</si>
  <si>
    <t>개발 의뢰 문서(RFP) 원문을 요약하지 말고 통째로 붙여넣을 것. PDF는 파일 첨부도 가능.</t>
  </si>
  <si>
    <r>
      <rPr>
        <b/>
        <sz val="10"/>
        <color rgb="FF222222"/>
        <rFont val="Noto Sans CJK SC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</rPr>
      <t>아이디어도출</t>
    </r>
  </si>
  <si>
    <t>선택기능 브레인스토밍</t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</si>
  <si>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</rPr>
      <t xml:space="preserve"> 1~5, </t>
    </r>
    <r>
      <rPr>
        <sz val="10"/>
        <color rgb="FF222222"/>
        <rFont val="맑은 고딕"/>
        <family val="3"/>
        <charset val="129"/>
      </rPr>
      <t>실현가능성</t>
    </r>
    <r>
      <rPr>
        <sz val="10"/>
        <color rgb="FF222222"/>
        <rFont val="Noto Sans CJK SC"/>
      </rPr>
      <t>(</t>
    </r>
    <r>
      <rPr>
        <sz val="10"/>
        <color rgb="FF222222"/>
        <rFont val="맑은 고딕"/>
        <family val="3"/>
        <charset val="129"/>
      </rPr>
      <t>난이도가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낮을수록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높음</t>
    </r>
    <r>
      <rPr>
        <sz val="10"/>
        <color rgb="FF222222"/>
        <rFont val="Noto Sans CJK SC"/>
      </rPr>
      <t>)</t>
    </r>
    <r>
      <rPr>
        <sz val="10"/>
        <color rgb="FF222222"/>
        <rFont val="맑은 고딕"/>
        <family val="3"/>
        <charset val="129"/>
      </rPr>
      <t>과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임팩트</t>
    </r>
    <r>
      <rPr>
        <sz val="10"/>
        <color rgb="FF222222"/>
        <rFont val="Noto Sans CJK SC"/>
      </rPr>
      <t>(</t>
    </r>
    <r>
      <rPr>
        <sz val="10"/>
        <color rgb="FF222222"/>
        <rFont val="맑은 고딕"/>
        <family val="3"/>
        <charset val="129"/>
      </rPr>
      <t>사용자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체감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효과</t>
    </r>
    <r>
      <rPr>
        <sz val="10"/>
        <color rgb="FF222222"/>
        <rFont val="Noto Sans CJK SC"/>
      </rPr>
      <t>)</t>
    </r>
    <r>
      <rPr>
        <sz val="10"/>
        <color rgb="FF222222"/>
        <rFont val="Noto Sans CJK SC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</rPr>
      <t>.</t>
    </r>
    <r>
      <rPr>
        <sz val="10"/>
        <color rgb="FF222222"/>
        <rFont val="Noto Sans CJK SC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</rPr>
      <t>) ---</t>
    </r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</si>
  <si>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</si>
  <si>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</si>
  <si>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</si>
  <si>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</si>
  <si>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</si>
  <si>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Must/Should/Could/Won't 표</t>
  </si>
  <si>
    <t>'Won't have'를 명시하면 착수 후 범위가 슬금슬금 늘어나는 것(스코프 크립)을 막을 수 있음.</t>
  </si>
  <si>
    <t>ㄴ</t>
  </si>
  <si>
    <r>
      <rPr>
        <b/>
        <sz val="10"/>
        <color rgb="FF222222"/>
        <rFont val="Segoe UI Symbol"/>
        <family val="2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</si>
  <si>
    <t>WBS 초안 생성</t>
  </si>
  <si>
    <t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</si>
  <si>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>작업분해 + 일정 표</t>
  </si>
  <si>
    <t>'오늘 날짜'와 '납기'를 반드시 알려줘야 실제 캘린더에 맞는 일정이 나옴.</t>
  </si>
  <si>
    <r>
      <rPr>
        <b/>
        <sz val="10"/>
        <color rgb="FF222222"/>
        <rFont val="Arial"/>
        <family val="2"/>
      </rP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</si>
  <si>
    <t>•</t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</si>
  <si>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</si>
  <si>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</si>
  <si>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</si>
  <si>
    <t>LocalHub 요구사항 분석 (MoSCoW)</t>
  </si>
  <si>
    <r>
      <rPr>
        <sz val="11"/>
        <color rgb="FF222222"/>
        <rFont val="Arial"/>
        <family val="2"/>
      </rP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</si>
  <si>
    <t>구분</t>
  </si>
  <si>
    <t>항목</t>
  </si>
  <si>
    <t>상세 내용</t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</si>
  <si>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</si>
  <si>
    <t>검토의견</t>
  </si>
  <si>
    <t>▶ 실습란 (ChatGPT 결과를 검토하며 직접 채워보세요 — 개발 의뢰 문서(RFP)를 처음부터 분석)</t>
  </si>
  <si>
    <t>Must</t>
  </si>
  <si>
    <t>커뮤니티</t>
  </si>
  <si>
    <t>익명 게시판 CRUD 구현</t>
  </si>
  <si>
    <t>III-커뮤니티</t>
  </si>
  <si>
    <t>핵심 기능</t>
  </si>
  <si>
    <t>게시글 저장</t>
  </si>
  <si>
    <t>localStorage 저장</t>
  </si>
  <si>
    <t>서버 저장 불가</t>
  </si>
  <si>
    <t>게시글 권한</t>
  </si>
  <si>
    <t>수정용 비밀번호 입력 및 확인</t>
  </si>
  <si>
    <t>프론트엔드 검증</t>
  </si>
  <si>
    <t>챗봇</t>
  </si>
  <si>
    <t>OpenAI API 기반 챗봇</t>
  </si>
  <si>
    <t>III-챗봇</t>
  </si>
  <si>
    <t>챗봇 질의</t>
  </si>
  <si>
    <t>지역 정보, 관광지, 축제, 게시글 검색 등 응답</t>
  </si>
  <si>
    <t>데이터 활용 범위</t>
  </si>
  <si>
    <t>챗 UI</t>
  </si>
  <si>
    <t>히스토리, 모바일 대응, 플로팅 UI</t>
  </si>
  <si>
    <t>UX 요구</t>
  </si>
  <si>
    <t>Should</t>
  </si>
  <si>
    <t>축제 캘린더</t>
  </si>
  <si>
    <t>FullCalendar 활용 가능</t>
  </si>
  <si>
    <t>참고2</t>
  </si>
  <si>
    <t>선택 기능</t>
  </si>
  <si>
    <t>데이터 시각화</t>
  </si>
  <si>
    <t>Chart.js, D3.js 활용</t>
  </si>
  <si>
    <t>Could</t>
  </si>
  <si>
    <t>지도 시각화</t>
  </si>
  <si>
    <t>Leaflet 또는 Kakao Maps 활용</t>
  </si>
  <si>
    <t>게시판 확장</t>
  </si>
  <si>
    <t>검색, 좋아요, 북마크, 이미지 첨부 등</t>
  </si>
  <si>
    <t>Won't</t>
  </si>
  <si>
    <t>소셜 공유</t>
  </si>
  <si>
    <t>카카오톡, 링크 공유</t>
  </si>
  <si>
    <t>다국어</t>
  </si>
  <si>
    <t>i18n 적용</t>
  </si>
  <si>
    <t>실시간 알림</t>
  </si>
  <si>
    <t>polling 기반 새 글 알림</t>
  </si>
  <si>
    <t>WebSocket 제외</t>
  </si>
  <si>
    <t>경로 안내</t>
  </si>
  <si>
    <t>관광지 이동 경로 표시</t>
  </si>
  <si>
    <t>날씨 연동</t>
  </si>
  <si>
    <t>외부 날씨 API</t>
  </si>
  <si>
    <t>제약</t>
  </si>
  <si>
    <t>추가 데이터</t>
  </si>
  <si>
    <t>반드시 라이선스 및 공공누리 유형 확인 후 사용</t>
  </si>
  <si>
    <t>II-2 / III-가</t>
  </si>
  <si>
    <t>라이선스 검증 필수</t>
  </si>
  <si>
    <t>예산</t>
  </si>
  <si>
    <t>API 사용 비용은 정해진 예산을 초과할 수 없음</t>
  </si>
  <si>
    <t>II-2</t>
  </si>
  <si>
    <t>OpenAI 사용량 관리 필요</t>
  </si>
  <si>
    <t>일정</t>
  </si>
  <si>
    <t>납기(2026.07.16 15:00) 내 모든 산출물 제출</t>
  </si>
  <si>
    <t>II-3</t>
  </si>
  <si>
    <t>일정 고정</t>
  </si>
  <si>
    <t>요구사항 변경</t>
  </si>
  <si>
    <t>개발 착수 이후 기능 요구사항 변경은 없음</t>
  </si>
  <si>
    <t>Scope Freeze</t>
  </si>
  <si>
    <t>회원 기능</t>
  </si>
  <si>
    <t>회원가입·로그인 적용하지 않음</t>
  </si>
  <si>
    <t>인증 기능 제외</t>
  </si>
  <si>
    <t>데이터 저장</t>
  </si>
  <si>
    <t>localStorage 특성상 다른 사용자와 공유되지 않음</t>
  </si>
  <si>
    <t>기능적 한계</t>
  </si>
  <si>
    <t>API 키</t>
  </si>
  <si>
    <t>VITE 환경변수는 노출되므로 반드시 사용량 제한 키 사용, 결제 한도 낮게 설정</t>
  </si>
  <si>
    <t>보안상 핵심</t>
  </si>
  <si>
    <t>개발 환경</t>
  </si>
  <si>
    <t>VSCode + Copilot + OpenAI API Key 조합만 허용</t>
  </si>
  <si>
    <t>III-개발환경</t>
  </si>
  <si>
    <t>지정 환경 준수</t>
  </si>
  <si>
    <t>선택기능 아이디어 도출 및 평가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</si>
  <si>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</si>
  <si>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</si>
  <si>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</si>
  <si>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</si>
  <si>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</si>
  <si>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</si>
  <si>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</si>
  <si>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</si>
  <si>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</si>
  <si>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게시판 추가기능</t>
  </si>
  <si>
    <t>localStorage만으로 구현 가능. 기존 게시판 재활용 가능</t>
  </si>
  <si>
    <t>보류</t>
  </si>
  <si>
    <t>FullCalendar 적용만 하면 구현 가능. 관광 서비스와 잘 어울림</t>
  </si>
  <si>
    <t>선정</t>
  </si>
  <si>
    <t>게시글 수, 카테고리 통계를 쉽게 시각화 가능</t>
  </si>
  <si>
    <t>Vue i18n 적용이 비교적 단순</t>
  </si>
  <si>
    <t>링크 공유 및 Kakao 공유는 구현량이 적음</t>
  </si>
  <si>
    <t>날씨 API 연동</t>
  </si>
  <si>
    <t>API 연동 및 예외처리 필요</t>
  </si>
  <si>
    <t>Leaflet은 쉽지만 좌표 데이터 처리 필요</t>
  </si>
  <si>
    <t>localStorage polling은 효과 대비 구현 가치가 낮음</t>
  </si>
  <si>
    <t>제외</t>
  </si>
  <si>
    <t>지도 API와 경로 계산까지 구현해야 하므로 일정상 부담</t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</si>
  <si>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</si>
  <si>
    <t>축제 캘린더 및 데이터 시각화</t>
  </si>
  <si>
    <t>LocalHub MVP 정의서</t>
  </si>
  <si>
    <t>MVP(Minimum Viable Product, 최소기능제품)란? 핵심 기능만 담아 가장 빠르게 완성하는 최소 버전의 제품</t>
  </si>
  <si>
    <t>선정 권역</t>
  </si>
  <si>
    <t>서울</t>
  </si>
  <si>
    <t>핵심 문제</t>
  </si>
  <si>
    <t>정보 탐색의 피로감, 축제 시 실시간 양방향 소통의 부재</t>
  </si>
  <si>
    <t>타깃 사용자</t>
  </si>
  <si>
    <t>서울 관광객</t>
  </si>
  <si>
    <t>성공 지표</t>
  </si>
  <si>
    <t>챗봇 대화 완료율, 익명 게시글 생성 및 관리 성공률, 캘린더 및 데이터 시각화 정상 기능 여부</t>
  </si>
  <si>
    <t>Must have (반드시 포함 - 개발 의뢰 문서(RFP) 필수 요구사항)</t>
  </si>
  <si>
    <t>커뮤니티: 익명 게시판 CRUD 구현</t>
  </si>
  <si>
    <t>게시글 저장: localStorage 저장</t>
  </si>
  <si>
    <t>게시글 권한: 수정용 비밀번호 입력 및 확인</t>
  </si>
  <si>
    <t>챗봇: OpenAI API 기반 챗봇</t>
  </si>
  <si>
    <t>챗봇 질의: 지역 정보, 관광지, 축제, 게시글 검색 등 응답</t>
  </si>
  <si>
    <t>Should / Could have (선택 - 팀이 선정한 기능으로 교체)</t>
  </si>
  <si>
    <t>축제 캘린더: FullCalendar 적용만 하면 구현 가능. 관광 서비스와 잘 어울림</t>
  </si>
  <si>
    <t>데이터 시각화: 게시글 수, 카테고리 통계를 쉽게 시각화 가능</t>
  </si>
  <si>
    <t>지도 시각화: Leaflet 또는 Kakao Maps 활용</t>
  </si>
  <si>
    <t>게시판 확장: 검색, 좋아요, 북마크, 이미지 첨부 등</t>
  </si>
  <si>
    <t>Won't have (이번 MVP 범위에서 제외 - 스코프 크립: 범위가 계속 늘어나는 현상 방지)</t>
  </si>
  <si>
    <t>소셜 공유: 카카오톡, 링크 공유</t>
  </si>
  <si>
    <t>다국어: i18n 적용</t>
  </si>
  <si>
    <t>실시간 알림: polling 기반 새 글 알림</t>
  </si>
  <si>
    <t>경로 안내: 관광지 이동 경로 표시</t>
  </si>
  <si>
    <t>날씨 연동: 외부 날씨 API</t>
  </si>
  <si>
    <t>LocalHub WBS + 간트차트 (Day 1~Day 3 기준)</t>
  </si>
  <si>
    <r>
      <rPr>
        <sz val="8"/>
        <color rgb="FF222222"/>
        <rFont val="Arial"/>
        <family val="2"/>
      </rPr>
      <t>WBS(</t>
    </r>
    <r>
      <rPr>
        <sz val="8"/>
        <color rgb="FF222222"/>
        <rFont val="맑은 고딕"/>
        <family val="3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3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3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3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3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3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3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3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예시입니다</t>
    </r>
    <r>
      <rPr>
        <sz val="8"/>
        <color rgb="FF222222"/>
        <rFont val="Arial"/>
        <family val="2"/>
      </rPr>
      <t>.</t>
    </r>
  </si>
  <si>
    <t>No</t>
  </si>
  <si>
    <t>대분류</t>
  </si>
  <si>
    <t>작업명</t>
  </si>
  <si>
    <t>담당</t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</si>
  <si>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</si>
  <si>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</si>
  <si>
    <t>소요일</t>
  </si>
  <si>
    <t>진행률(%)</t>
  </si>
  <si>
    <t>상태</t>
  </si>
  <si>
    <t>기획</t>
  </si>
  <si>
    <t>요구사항 분석 및 MVP 확정</t>
  </si>
  <si>
    <t>팀전체</t>
  </si>
  <si>
    <t>완료</t>
  </si>
  <si>
    <t>역할 분담 및 일정 수립</t>
  </si>
  <si>
    <t>설계</t>
  </si>
  <si>
    <t>화면 및 데이터 구조 설계</t>
  </si>
  <si>
    <t>FE</t>
  </si>
  <si>
    <t>개발</t>
  </si>
  <si>
    <t>프로젝트 환경 및 JSON 연동</t>
  </si>
  <si>
    <t>게시판 CRUD 및 localStorage 구현</t>
  </si>
  <si>
    <t>OpenAI 챗봇 구현</t>
  </si>
  <si>
    <t>선택 기능 구현(축제 캘린더, 게시글 검색, 데이터 시각화, 지도 시각화)</t>
  </si>
  <si>
    <t>테스트</t>
  </si>
  <si>
    <t>기능 테스트 및 버그 수정</t>
  </si>
  <si>
    <t>배포</t>
  </si>
  <si>
    <t>Netlify 배포 및 검증</t>
  </si>
  <si>
    <t>문서화</t>
  </si>
  <si>
    <t>기능명세서, WBS, Git 정리</t>
  </si>
  <si>
    <t>진행중</t>
  </si>
  <si>
    <t>발표준비</t>
  </si>
  <si>
    <t>PPT 제작 및 최종 리허설</t>
  </si>
  <si>
    <t>대분류 (범례)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</si>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</sst>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Day &quot;0"/>
    <numFmt numFmtId="177" formatCode="yyyy\-mm\-dd"/>
    <numFmt numFmtId="178" formatCode="yyyy\-mm\-dd\ h:mm"/>
    <numFmt numFmtId="179" formatCode="yyyy\.\ m\.\ d\ am/pm\ h:mm:ss"/>
  </numFmts>
  <fonts count="47">
    <font>
      <sz val="11"/>
      <color theme="1"/>
      <name val="Calibri"/>
      <scheme val="minor"/>
    </font>
    <font>
      <b/>
      <sz val="18"/>
      <color rgb="FFFFFFFF"/>
      <name val="Arial"/>
    </font>
    <font>
      <sz val="11"/>
      <name val="Calibri"/>
    </font>
    <font>
      <b/>
      <sz val="10"/>
      <color rgb="FF222222"/>
      <name val="Noto Sans"/>
    </font>
    <font>
      <sz val="10"/>
      <color rgb="FF222222"/>
      <name val="Noto Sans"/>
    </font>
    <font>
      <sz val="10"/>
      <color rgb="FF222222"/>
      <name val="Arial"/>
    </font>
    <font>
      <b/>
      <sz val="10"/>
      <color rgb="FF222222"/>
      <name val="Arial"/>
    </font>
    <font>
      <b/>
      <sz val="16"/>
      <color rgb="FFFFFFFF"/>
      <name val="Noto Sans"/>
    </font>
    <font>
      <b/>
      <sz val="10"/>
      <color rgb="FFFFFFFF"/>
      <name val="Noto Sans"/>
    </font>
    <font>
      <b/>
      <sz val="10"/>
      <color rgb="FFFFFFFF"/>
      <name val="Arial"/>
    </font>
    <font>
      <sz val="10"/>
      <color rgb="FF222222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6"/>
      <color rgb="FFFFFFFF"/>
      <name val="Arial"/>
    </font>
    <font>
      <sz val="11"/>
      <color rgb="FF222222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9"/>
      <color rgb="FF222222"/>
      <name val="Malgun Gothic"/>
      <family val="3"/>
      <charset val="129"/>
    </font>
    <font>
      <sz val="9"/>
      <color rgb="FF222222"/>
      <name val="Noto Sans"/>
    </font>
    <font>
      <b/>
      <sz val="9"/>
      <color rgb="FFFFFFFF"/>
      <name val="Noto Sans"/>
    </font>
    <font>
      <b/>
      <sz val="9"/>
      <color theme="1"/>
      <name val="Noto Sans"/>
    </font>
    <font>
      <b/>
      <sz val="9"/>
      <color rgb="FF222222"/>
      <name val="Noto Sans"/>
    </font>
    <font>
      <sz val="9"/>
      <color rgb="FF222222"/>
      <name val="Arial"/>
    </font>
    <font>
      <sz val="10"/>
      <color theme="1"/>
      <name val="Arial"/>
    </font>
    <font>
      <b/>
      <sz val="15"/>
      <color rgb="FFFFFFFF"/>
      <name val="Arial"/>
    </font>
    <font>
      <sz val="8"/>
      <color rgb="FF222222"/>
      <name val="Arial"/>
    </font>
    <font>
      <b/>
      <sz val="11"/>
      <color theme="1"/>
      <name val="Calibri"/>
      <scheme val="minor"/>
    </font>
    <font>
      <b/>
      <sz val="9"/>
      <color rgb="FFFFFFFF"/>
      <name val="Arial"/>
    </font>
    <font>
      <b/>
      <sz val="9"/>
      <color rgb="FF222222"/>
      <name val="Malgun Gothic"/>
      <family val="3"/>
      <charset val="129"/>
    </font>
    <font>
      <b/>
      <sz val="8"/>
      <color theme="1"/>
      <name val="Arial"/>
    </font>
    <font>
      <b/>
      <sz val="10"/>
      <color rgb="FF222222"/>
      <name val="Malgun Gothic"/>
      <family val="3"/>
      <charset val="129"/>
    </font>
    <font>
      <b/>
      <sz val="18"/>
      <color rgb="FFFFFFFF"/>
      <name val="맑은 고딕"/>
      <family val="3"/>
      <charset val="129"/>
    </font>
    <font>
      <b/>
      <sz val="10"/>
      <color rgb="FF222222"/>
      <name val="맑은 고딕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0"/>
      <color rgb="FF222222"/>
      <name val="Noto Sans CJK SC"/>
    </font>
    <font>
      <b/>
      <sz val="10"/>
      <color rgb="FF222222"/>
      <name val="Segoe UI Symbo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11"/>
      <color rgb="FF222222"/>
      <name val="맑은 고딕"/>
      <family val="3"/>
      <charset val="129"/>
    </font>
    <font>
      <sz val="8"/>
      <color rgb="FF222222"/>
      <name val="Arial"/>
      <family val="2"/>
    </font>
    <font>
      <sz val="8"/>
      <color rgb="FF222222"/>
      <name val="맑은 고딕"/>
      <family val="3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Arial"/>
      <family val="2"/>
    </font>
    <font>
      <sz val="8"/>
      <name val="Calibri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E2761"/>
        <bgColor rgb="FF1E2761"/>
      </patternFill>
    </fill>
    <fill>
      <patternFill patternType="solid">
        <fgColor rgb="FFF2F2F2"/>
        <bgColor rgb="FFF2F2F2"/>
      </patternFill>
    </fill>
    <fill>
      <patternFill patternType="solid">
        <fgColor rgb="FFCADCFC"/>
        <bgColor rgb="FFCADCFC"/>
      </patternFill>
    </fill>
    <fill>
      <patternFill patternType="solid">
        <fgColor rgb="FFF5C6C6"/>
        <bgColor rgb="FFF5C6C6"/>
      </patternFill>
    </fill>
    <fill>
      <patternFill patternType="solid">
        <fgColor rgb="FFFCE9B0"/>
        <bgColor rgb="FFFCE9B0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4D6F0"/>
        <bgColor rgb="FFE4D6F0"/>
      </patternFill>
    </fill>
    <fill>
      <patternFill patternType="solid">
        <fgColor rgb="FFD0E0E3"/>
        <bgColor rgb="FFD0E0E3"/>
      </patternFill>
    </fill>
    <fill>
      <patternFill patternType="solid">
        <fgColor rgb="FFF9E4B7"/>
        <bgColor rgb="FFF9E4B7"/>
      </patternFill>
    </fill>
    <fill>
      <patternFill patternType="solid">
        <fgColor rgb="FF028090"/>
        <bgColor rgb="FF02809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3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0" xfId="0" applyFont="1"/>
    <xf numFmtId="0" fontId="5" fillId="0" borderId="3" xfId="0" applyFont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4" fillId="0" borderId="0" xfId="0" applyFont="1" applyAlignment="1"/>
    <xf numFmtId="0" fontId="14" fillId="0" borderId="0" xfId="0" applyFont="1" applyAlignment="1"/>
    <xf numFmtId="0" fontId="3" fillId="8" borderId="3" xfId="0" applyFont="1" applyFill="1" applyBorder="1"/>
    <xf numFmtId="0" fontId="5" fillId="8" borderId="3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vertical="center"/>
    </xf>
    <xf numFmtId="0" fontId="5" fillId="9" borderId="3" xfId="0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vertical="center"/>
    </xf>
    <xf numFmtId="0" fontId="5" fillId="10" borderId="3" xfId="0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vertical="center"/>
    </xf>
    <xf numFmtId="0" fontId="5" fillId="11" borderId="3" xfId="0" applyFont="1" applyFill="1" applyBorder="1" applyAlignment="1">
      <alignment horizontal="left" vertical="center" wrapText="1"/>
    </xf>
    <xf numFmtId="0" fontId="15" fillId="11" borderId="3" xfId="0" applyFont="1" applyFill="1" applyBorder="1" applyAlignment="1">
      <alignment vertical="center"/>
    </xf>
    <xf numFmtId="0" fontId="15" fillId="0" borderId="0" xfId="0" applyFont="1" applyAlignment="1"/>
    <xf numFmtId="0" fontId="5" fillId="12" borderId="3" xfId="0" applyFont="1" applyFill="1" applyBorder="1" applyAlignment="1">
      <alignment horizontal="left" vertical="center" wrapText="1"/>
    </xf>
    <xf numFmtId="0" fontId="15" fillId="12" borderId="3" xfId="0" applyFont="1" applyFill="1" applyBorder="1" applyAlignment="1">
      <alignment vertical="center"/>
    </xf>
    <xf numFmtId="0" fontId="18" fillId="2" borderId="8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vertical="center"/>
    </xf>
    <xf numFmtId="0" fontId="15" fillId="13" borderId="3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/>
    </xf>
    <xf numFmtId="0" fontId="26" fillId="2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7" fillId="7" borderId="3" xfId="0" applyFont="1" applyFill="1" applyBorder="1" applyAlignment="1">
      <alignment horizontal="center" vertical="center" wrapText="1"/>
    </xf>
    <xf numFmtId="176" fontId="28" fillId="7" borderId="3" xfId="0" applyNumberFormat="1" applyFont="1" applyFill="1" applyBorder="1" applyAlignment="1">
      <alignment horizontal="center" vertical="center" wrapText="1"/>
    </xf>
    <xf numFmtId="177" fontId="15" fillId="0" borderId="0" xfId="0" applyNumberFormat="1" applyFont="1" applyAlignment="1"/>
    <xf numFmtId="177" fontId="15" fillId="0" borderId="3" xfId="0" applyNumberFormat="1" applyFont="1" applyBorder="1" applyAlignment="1"/>
    <xf numFmtId="0" fontId="5" fillId="8" borderId="3" xfId="0" applyFont="1" applyFill="1" applyBorder="1" applyAlignment="1">
      <alignment horizontal="left" vertical="center" wrapText="1"/>
    </xf>
    <xf numFmtId="178" fontId="15" fillId="0" borderId="0" xfId="0" applyNumberFormat="1" applyFont="1" applyAlignment="1"/>
    <xf numFmtId="179" fontId="15" fillId="0" borderId="0" xfId="0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4" borderId="4" xfId="0" applyFont="1" applyFill="1" applyBorder="1" applyAlignment="1">
      <alignment wrapText="1"/>
    </xf>
    <xf numFmtId="0" fontId="2" fillId="0" borderId="5" xfId="0" applyFont="1" applyBorder="1"/>
    <xf numFmtId="0" fontId="3" fillId="5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2" fillId="0" borderId="6" xfId="0" applyFont="1" applyBorder="1"/>
    <xf numFmtId="0" fontId="6" fillId="6" borderId="4" xfId="0" applyFont="1" applyFill="1" applyBorder="1"/>
    <xf numFmtId="0" fontId="2" fillId="0" borderId="7" xfId="0" applyFont="1" applyBorder="1"/>
    <xf numFmtId="0" fontId="12" fillId="2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/>
    </xf>
    <xf numFmtId="0" fontId="21" fillId="0" borderId="4" xfId="0" applyFont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/>
    </xf>
    <xf numFmtId="0" fontId="6" fillId="15" borderId="4" xfId="0" applyFont="1" applyFill="1" applyBorder="1" applyAlignment="1">
      <alignment horizontal="left"/>
    </xf>
    <xf numFmtId="0" fontId="22" fillId="13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left"/>
    </xf>
    <xf numFmtId="0" fontId="3" fillId="15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3" fillId="19" borderId="9" xfId="0" applyFont="1" applyFill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/>
    </xf>
    <xf numFmtId="0" fontId="24" fillId="0" borderId="4" xfId="0" applyFont="1" applyBorder="1" applyAlignment="1">
      <alignment horizontal="left" vertical="center" wrapText="1"/>
    </xf>
    <xf numFmtId="0" fontId="29" fillId="3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0"/>
  <sheetViews>
    <sheetView showGridLines="0" workbookViewId="0"/>
  </sheetViews>
  <sheetFormatPr defaultColWidth="14.42578125" defaultRowHeight="15" customHeight="1"/>
  <cols>
    <col min="1" max="1" width="4" customWidth="1"/>
    <col min="2" max="2" width="22" customWidth="1"/>
    <col min="3" max="3" width="79.140625" customWidth="1"/>
    <col min="4" max="6" width="4" customWidth="1"/>
    <col min="7" max="26" width="8.7109375" customWidth="1"/>
  </cols>
  <sheetData>
    <row r="2" spans="2:3" ht="31.5" customHeight="1">
      <c r="B2" s="58" t="s">
        <v>0</v>
      </c>
      <c r="C2" s="59"/>
    </row>
    <row r="4" spans="2:3" ht="19.5" customHeight="1">
      <c r="B4" s="1" t="s">
        <v>1</v>
      </c>
      <c r="C4" s="2" t="s">
        <v>2</v>
      </c>
    </row>
    <row r="5" spans="2:3" ht="36.75" customHeight="1">
      <c r="B5" s="1" t="s">
        <v>3</v>
      </c>
      <c r="C5" s="2" t="s">
        <v>4</v>
      </c>
    </row>
    <row r="6" spans="2:3" ht="19.5" customHeight="1">
      <c r="B6" s="1" t="s">
        <v>5</v>
      </c>
      <c r="C6" s="3" t="s">
        <v>6</v>
      </c>
    </row>
    <row r="7" spans="2:3" ht="19.5" customHeight="1">
      <c r="B7" s="1" t="s">
        <v>7</v>
      </c>
      <c r="C7" s="3" t="s">
        <v>8</v>
      </c>
    </row>
    <row r="9" spans="2:3" ht="15" customHeight="1">
      <c r="B9" s="60" t="s">
        <v>9</v>
      </c>
      <c r="C9" s="61"/>
    </row>
    <row r="10" spans="2:3" ht="27">
      <c r="B10" s="4" t="s">
        <v>10</v>
      </c>
      <c r="C10" s="2" t="s">
        <v>11</v>
      </c>
    </row>
    <row r="11" spans="2:3" ht="40.5">
      <c r="B11" s="4" t="s">
        <v>12</v>
      </c>
      <c r="C11" s="2" t="s">
        <v>13</v>
      </c>
    </row>
    <row r="12" spans="2:3" ht="33.75" customHeight="1">
      <c r="B12" s="4" t="s">
        <v>14</v>
      </c>
      <c r="C12" s="2" t="s">
        <v>15</v>
      </c>
    </row>
    <row r="13" spans="2:3" ht="33.75" customHeight="1">
      <c r="B13" s="4" t="s">
        <v>16</v>
      </c>
      <c r="C13" s="3" t="s">
        <v>17</v>
      </c>
    </row>
    <row r="14" spans="2:3" ht="33.75" customHeight="1">
      <c r="B14" s="4" t="s">
        <v>18</v>
      </c>
      <c r="C14" s="2" t="s">
        <v>19</v>
      </c>
    </row>
    <row r="15" spans="2:3" ht="33.75" customHeight="1">
      <c r="B15" s="4" t="s">
        <v>20</v>
      </c>
      <c r="C15" s="2" t="s">
        <v>21</v>
      </c>
    </row>
    <row r="17" spans="2:3" ht="15" customHeight="1">
      <c r="B17" s="62" t="s">
        <v>22</v>
      </c>
      <c r="C17" s="61"/>
    </row>
    <row r="18" spans="2:3" ht="27.75" customHeight="1">
      <c r="B18" s="63" t="s">
        <v>23</v>
      </c>
      <c r="C18" s="61"/>
    </row>
    <row r="19" spans="2:3" ht="27.75" customHeight="1">
      <c r="B19" s="64" t="s">
        <v>24</v>
      </c>
      <c r="C19" s="61"/>
    </row>
    <row r="20" spans="2:3" ht="27.75" customHeight="1">
      <c r="B20" s="64" t="s">
        <v>25</v>
      </c>
      <c r="C20" s="61"/>
    </row>
    <row r="21" spans="2:3" ht="27.75" customHeight="1"/>
    <row r="22" spans="2:3" ht="15.75" customHeight="1"/>
    <row r="23" spans="2:3" ht="15.75" customHeight="1"/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B2:C2"/>
    <mergeCell ref="B9:C9"/>
    <mergeCell ref="B17:C17"/>
    <mergeCell ref="B18:C18"/>
    <mergeCell ref="B19:C19"/>
  </mergeCells>
  <phoneticPr fontId="46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000"/>
  <sheetViews>
    <sheetView showGridLines="0" workbookViewId="0"/>
  </sheetViews>
  <sheetFormatPr defaultColWidth="14.42578125" defaultRowHeight="15" customHeight="1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  <col min="7" max="26" width="8.7109375" customWidth="1"/>
  </cols>
  <sheetData>
    <row r="2" spans="2:10" ht="30" customHeight="1">
      <c r="B2" s="65" t="s">
        <v>26</v>
      </c>
      <c r="C2" s="66"/>
      <c r="D2" s="66"/>
      <c r="E2" s="66"/>
      <c r="F2" s="59"/>
    </row>
    <row r="4" spans="2:10" ht="19.5" customHeight="1">
      <c r="B4" s="5" t="s">
        <v>27</v>
      </c>
      <c r="C4" s="5" t="s">
        <v>28</v>
      </c>
      <c r="D4" s="5" t="s">
        <v>29</v>
      </c>
      <c r="E4" s="5" t="s">
        <v>30</v>
      </c>
      <c r="F4" s="6" t="s">
        <v>31</v>
      </c>
    </row>
    <row r="5" spans="2:10" ht="129.75" customHeight="1">
      <c r="B5" s="7" t="s">
        <v>32</v>
      </c>
      <c r="C5" s="8" t="s">
        <v>33</v>
      </c>
      <c r="D5" s="2" t="s">
        <v>34</v>
      </c>
      <c r="E5" s="8" t="s">
        <v>35</v>
      </c>
      <c r="F5" s="8" t="s">
        <v>36</v>
      </c>
    </row>
    <row r="6" spans="2:10" ht="129.75" customHeight="1">
      <c r="B6" s="7" t="s">
        <v>37</v>
      </c>
      <c r="C6" s="8" t="s">
        <v>38</v>
      </c>
      <c r="D6" s="2" t="s">
        <v>39</v>
      </c>
      <c r="E6" s="8" t="s">
        <v>40</v>
      </c>
      <c r="F6" s="8" t="s">
        <v>41</v>
      </c>
    </row>
    <row r="7" spans="2:10" ht="129.75" customHeight="1">
      <c r="B7" s="7" t="s">
        <v>42</v>
      </c>
      <c r="C7" s="9" t="s">
        <v>43</v>
      </c>
      <c r="D7" s="10" t="s">
        <v>44</v>
      </c>
      <c r="E7" s="9" t="s">
        <v>45</v>
      </c>
      <c r="F7" s="9" t="s">
        <v>46</v>
      </c>
      <c r="J7" s="11" t="s">
        <v>47</v>
      </c>
    </row>
    <row r="8" spans="2:10" ht="129.75" customHeight="1">
      <c r="B8" s="7" t="s">
        <v>48</v>
      </c>
      <c r="C8" s="9" t="s">
        <v>49</v>
      </c>
      <c r="D8" s="12" t="s">
        <v>50</v>
      </c>
      <c r="E8" s="8" t="s">
        <v>51</v>
      </c>
      <c r="F8" s="9" t="s">
        <v>52</v>
      </c>
    </row>
    <row r="9" spans="2:10" ht="13.5" customHeight="1"/>
    <row r="10" spans="2:10" ht="15" customHeight="1">
      <c r="B10" s="67" t="s">
        <v>53</v>
      </c>
      <c r="C10" s="68"/>
      <c r="D10" s="68"/>
      <c r="E10" s="68"/>
      <c r="F10" s="61"/>
    </row>
    <row r="11" spans="2:10" ht="24" customHeight="1">
      <c r="B11" s="9" t="s">
        <v>54</v>
      </c>
      <c r="C11" s="64" t="s">
        <v>55</v>
      </c>
      <c r="D11" s="68"/>
      <c r="E11" s="68"/>
      <c r="F11" s="68"/>
    </row>
    <row r="12" spans="2:10" ht="24" customHeight="1">
      <c r="B12" s="9" t="s">
        <v>54</v>
      </c>
      <c r="C12" s="64" t="s">
        <v>56</v>
      </c>
      <c r="D12" s="68"/>
      <c r="E12" s="68"/>
      <c r="F12" s="68"/>
    </row>
    <row r="13" spans="2:10" ht="24" customHeight="1">
      <c r="B13" s="9" t="s">
        <v>54</v>
      </c>
      <c r="C13" s="64" t="s">
        <v>57</v>
      </c>
      <c r="D13" s="68"/>
      <c r="E13" s="68"/>
      <c r="F13" s="6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10:F10"/>
    <mergeCell ref="C11:F11"/>
    <mergeCell ref="C12:F12"/>
    <mergeCell ref="C13:F13"/>
  </mergeCells>
  <phoneticPr fontId="46" type="noConversion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V1005"/>
  <sheetViews>
    <sheetView showGridLines="0" workbookViewId="0"/>
  </sheetViews>
  <sheetFormatPr defaultColWidth="14.42578125" defaultRowHeight="15" customHeight="1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  <col min="7" max="9" width="8.7109375" customWidth="1"/>
    <col min="10" max="10" width="17.140625" customWidth="1"/>
    <col min="11" max="11" width="66.5703125" customWidth="1"/>
    <col min="12" max="12" width="19.42578125" customWidth="1"/>
    <col min="13" max="26" width="8.7109375" customWidth="1"/>
  </cols>
  <sheetData>
    <row r="2" spans="2:21" ht="30" customHeight="1">
      <c r="B2" s="69" t="s">
        <v>58</v>
      </c>
      <c r="C2" s="68"/>
      <c r="D2" s="68"/>
      <c r="E2" s="68"/>
      <c r="F2" s="61"/>
    </row>
    <row r="3" spans="2:21" ht="27.75" customHeight="1">
      <c r="B3" s="70" t="s">
        <v>59</v>
      </c>
      <c r="C3" s="68"/>
      <c r="D3" s="68"/>
      <c r="E3" s="68"/>
      <c r="F3" s="61"/>
    </row>
    <row r="4" spans="2:21" ht="35.25" customHeight="1"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H4" s="14"/>
      <c r="I4" s="15"/>
      <c r="J4" s="15"/>
      <c r="K4" s="15"/>
      <c r="L4" s="15"/>
      <c r="M4" s="15"/>
      <c r="N4" s="14"/>
      <c r="O4" s="14"/>
      <c r="P4" s="14"/>
      <c r="Q4" s="14"/>
      <c r="R4" s="14"/>
      <c r="S4" s="14"/>
      <c r="T4" s="14"/>
      <c r="U4" s="14"/>
    </row>
    <row r="5" spans="2:21" ht="15" customHeight="1">
      <c r="B5" s="16" t="s">
        <v>65</v>
      </c>
      <c r="C5" s="16"/>
      <c r="D5" s="16"/>
      <c r="E5" s="16"/>
      <c r="F5" s="16"/>
      <c r="H5" s="14"/>
      <c r="I5" s="15"/>
      <c r="J5" s="15"/>
      <c r="K5" s="15"/>
      <c r="L5" s="15"/>
      <c r="M5" s="15"/>
      <c r="N5" s="14"/>
      <c r="O5" s="14"/>
      <c r="P5" s="14"/>
      <c r="Q5" s="14"/>
      <c r="R5" s="14"/>
      <c r="S5" s="14"/>
      <c r="T5" s="14"/>
      <c r="U5" s="14"/>
    </row>
    <row r="6" spans="2:21" ht="30" customHeight="1">
      <c r="B6" s="17" t="s">
        <v>66</v>
      </c>
      <c r="C6" s="18" t="s">
        <v>67</v>
      </c>
      <c r="D6" s="18" t="s">
        <v>68</v>
      </c>
      <c r="E6" s="18" t="s">
        <v>69</v>
      </c>
      <c r="F6" s="18" t="s">
        <v>70</v>
      </c>
      <c r="H6" s="14"/>
      <c r="I6" s="15"/>
      <c r="J6" s="15"/>
      <c r="K6" s="15"/>
      <c r="L6" s="15"/>
      <c r="M6" s="15"/>
      <c r="N6" s="14"/>
      <c r="O6" s="14"/>
      <c r="P6" s="14"/>
      <c r="Q6" s="14"/>
      <c r="R6" s="14"/>
      <c r="S6" s="14"/>
      <c r="T6" s="14"/>
      <c r="U6" s="14"/>
    </row>
    <row r="7" spans="2:21" ht="30" customHeight="1">
      <c r="B7" s="17" t="s">
        <v>66</v>
      </c>
      <c r="C7" s="18" t="s">
        <v>71</v>
      </c>
      <c r="D7" s="18" t="s">
        <v>72</v>
      </c>
      <c r="E7" s="18" t="s">
        <v>69</v>
      </c>
      <c r="F7" s="18" t="s">
        <v>73</v>
      </c>
      <c r="H7" s="14"/>
      <c r="I7" s="15"/>
      <c r="J7" s="15"/>
      <c r="K7" s="15"/>
      <c r="L7" s="15"/>
      <c r="M7" s="15"/>
      <c r="N7" s="14"/>
      <c r="O7" s="14"/>
      <c r="P7" s="14"/>
      <c r="Q7" s="14"/>
      <c r="R7" s="14"/>
      <c r="S7" s="14"/>
      <c r="T7" s="14"/>
      <c r="U7" s="14"/>
    </row>
    <row r="8" spans="2:21" ht="30" customHeight="1">
      <c r="B8" s="17" t="s">
        <v>66</v>
      </c>
      <c r="C8" s="18" t="s">
        <v>74</v>
      </c>
      <c r="D8" s="18" t="s">
        <v>75</v>
      </c>
      <c r="E8" s="18" t="s">
        <v>69</v>
      </c>
      <c r="F8" s="18" t="s">
        <v>76</v>
      </c>
      <c r="H8" s="14"/>
      <c r="I8" s="15"/>
      <c r="J8" s="15"/>
      <c r="K8" s="15"/>
      <c r="L8" s="15"/>
      <c r="M8" s="15"/>
      <c r="N8" s="14"/>
      <c r="O8" s="14"/>
      <c r="P8" s="14"/>
      <c r="Q8" s="14"/>
      <c r="R8" s="14"/>
      <c r="S8" s="14"/>
      <c r="T8" s="14"/>
      <c r="U8" s="14"/>
    </row>
    <row r="9" spans="2:21" ht="30" customHeight="1">
      <c r="B9" s="17" t="s">
        <v>66</v>
      </c>
      <c r="C9" s="18" t="s">
        <v>77</v>
      </c>
      <c r="D9" s="18" t="s">
        <v>78</v>
      </c>
      <c r="E9" s="18" t="s">
        <v>79</v>
      </c>
      <c r="F9" s="18" t="s">
        <v>70</v>
      </c>
      <c r="H9" s="14"/>
      <c r="I9" s="15"/>
      <c r="J9" s="15"/>
      <c r="K9" s="15"/>
      <c r="L9" s="15"/>
      <c r="M9" s="15"/>
      <c r="N9" s="14"/>
      <c r="O9" s="14"/>
      <c r="P9" s="14"/>
      <c r="Q9" s="14"/>
      <c r="R9" s="14"/>
      <c r="S9" s="14"/>
      <c r="T9" s="14"/>
      <c r="U9" s="14"/>
    </row>
    <row r="10" spans="2:21" ht="30" customHeight="1">
      <c r="B10" s="17" t="s">
        <v>66</v>
      </c>
      <c r="C10" s="18" t="s">
        <v>80</v>
      </c>
      <c r="D10" s="18" t="s">
        <v>81</v>
      </c>
      <c r="E10" s="18" t="s">
        <v>79</v>
      </c>
      <c r="F10" s="18" t="s">
        <v>82</v>
      </c>
      <c r="H10" s="14"/>
      <c r="I10" s="15"/>
      <c r="J10" s="15"/>
      <c r="K10" s="15"/>
      <c r="L10" s="15"/>
      <c r="M10" s="15"/>
      <c r="N10" s="14"/>
      <c r="O10" s="14"/>
      <c r="P10" s="14"/>
      <c r="Q10" s="14"/>
      <c r="R10" s="14"/>
      <c r="S10" s="14"/>
      <c r="T10" s="14"/>
      <c r="U10" s="14"/>
    </row>
    <row r="11" spans="2:21" ht="30" customHeight="1">
      <c r="B11" s="17" t="s">
        <v>66</v>
      </c>
      <c r="C11" s="18" t="s">
        <v>83</v>
      </c>
      <c r="D11" s="18" t="s">
        <v>84</v>
      </c>
      <c r="E11" s="18" t="s">
        <v>79</v>
      </c>
      <c r="F11" s="18" t="s">
        <v>85</v>
      </c>
      <c r="H11" s="14"/>
      <c r="I11" s="15"/>
      <c r="J11" s="15"/>
      <c r="K11" s="15"/>
      <c r="L11" s="15"/>
      <c r="M11" s="15"/>
      <c r="N11" s="14"/>
      <c r="O11" s="14"/>
      <c r="P11" s="14"/>
      <c r="Q11" s="14"/>
      <c r="R11" s="14"/>
      <c r="S11" s="14"/>
      <c r="T11" s="14"/>
      <c r="U11" s="14"/>
    </row>
    <row r="12" spans="2:21" ht="30" customHeight="1">
      <c r="B12" s="19" t="s">
        <v>86</v>
      </c>
      <c r="C12" s="20" t="s">
        <v>87</v>
      </c>
      <c r="D12" s="20" t="s">
        <v>88</v>
      </c>
      <c r="E12" s="20" t="s">
        <v>89</v>
      </c>
      <c r="F12" s="20" t="s">
        <v>90</v>
      </c>
      <c r="H12" s="14"/>
      <c r="I12" s="15"/>
      <c r="J12" s="15"/>
      <c r="K12" s="15"/>
      <c r="L12" s="15"/>
      <c r="M12" s="15"/>
      <c r="N12" s="14"/>
      <c r="O12" s="14"/>
      <c r="P12" s="14"/>
      <c r="Q12" s="14"/>
      <c r="R12" s="14"/>
      <c r="S12" s="14"/>
      <c r="T12" s="14"/>
      <c r="U12" s="14"/>
    </row>
    <row r="13" spans="2:21" ht="30" customHeight="1">
      <c r="B13" s="19" t="s">
        <v>86</v>
      </c>
      <c r="C13" s="20" t="s">
        <v>91</v>
      </c>
      <c r="D13" s="20" t="s">
        <v>92</v>
      </c>
      <c r="E13" s="20" t="s">
        <v>89</v>
      </c>
      <c r="F13" s="20" t="s">
        <v>90</v>
      </c>
      <c r="H13" s="14"/>
      <c r="I13" s="15"/>
      <c r="J13" s="15"/>
      <c r="K13" s="15"/>
      <c r="L13" s="15"/>
      <c r="M13" s="15"/>
      <c r="N13" s="14"/>
      <c r="O13" s="14"/>
      <c r="P13" s="14"/>
      <c r="Q13" s="14"/>
      <c r="R13" s="14"/>
      <c r="S13" s="14"/>
      <c r="T13" s="14"/>
      <c r="U13" s="14"/>
    </row>
    <row r="14" spans="2:21" ht="30" customHeight="1">
      <c r="B14" s="21" t="s">
        <v>93</v>
      </c>
      <c r="C14" s="22" t="s">
        <v>94</v>
      </c>
      <c r="D14" s="22" t="s">
        <v>95</v>
      </c>
      <c r="E14" s="22" t="s">
        <v>89</v>
      </c>
      <c r="F14" s="22" t="s">
        <v>90</v>
      </c>
      <c r="H14" s="14"/>
      <c r="I14" s="15"/>
      <c r="J14" s="15"/>
      <c r="K14" s="15"/>
      <c r="L14" s="15"/>
      <c r="M14" s="15"/>
      <c r="N14" s="14"/>
      <c r="O14" s="14"/>
      <c r="P14" s="14"/>
      <c r="Q14" s="14"/>
      <c r="R14" s="14"/>
      <c r="S14" s="14"/>
      <c r="T14" s="14"/>
      <c r="U14" s="14"/>
    </row>
    <row r="15" spans="2:21" ht="30" customHeight="1">
      <c r="B15" s="21" t="s">
        <v>93</v>
      </c>
      <c r="C15" s="22" t="s">
        <v>96</v>
      </c>
      <c r="D15" s="22" t="s">
        <v>97</v>
      </c>
      <c r="E15" s="22" t="s">
        <v>89</v>
      </c>
      <c r="F15" s="22" t="s">
        <v>90</v>
      </c>
      <c r="H15" s="14"/>
      <c r="I15" s="15"/>
      <c r="J15" s="15"/>
      <c r="K15" s="15"/>
      <c r="L15" s="15"/>
      <c r="M15" s="15"/>
      <c r="N15" s="14"/>
      <c r="O15" s="14"/>
      <c r="P15" s="14"/>
      <c r="Q15" s="14"/>
      <c r="R15" s="14"/>
      <c r="S15" s="14"/>
      <c r="T15" s="14"/>
      <c r="U15" s="14"/>
    </row>
    <row r="16" spans="2:21" ht="30" customHeight="1">
      <c r="B16" s="23" t="s">
        <v>98</v>
      </c>
      <c r="C16" s="24" t="s">
        <v>99</v>
      </c>
      <c r="D16" s="24" t="s">
        <v>100</v>
      </c>
      <c r="E16" s="24" t="s">
        <v>89</v>
      </c>
      <c r="F16" s="24" t="s">
        <v>90</v>
      </c>
      <c r="H16" s="14"/>
      <c r="I16" s="15"/>
      <c r="J16" s="15"/>
      <c r="K16" s="15"/>
      <c r="L16" s="15"/>
      <c r="M16" s="15"/>
      <c r="N16" s="14"/>
      <c r="O16" s="14"/>
      <c r="P16" s="14"/>
      <c r="Q16" s="14"/>
      <c r="R16" s="14"/>
      <c r="S16" s="14"/>
      <c r="T16" s="14"/>
      <c r="U16" s="14"/>
    </row>
    <row r="17" spans="2:21" ht="30" customHeight="1">
      <c r="B17" s="23" t="s">
        <v>98</v>
      </c>
      <c r="C17" s="24" t="s">
        <v>101</v>
      </c>
      <c r="D17" s="24" t="s">
        <v>102</v>
      </c>
      <c r="E17" s="24" t="s">
        <v>89</v>
      </c>
      <c r="F17" s="24" t="s">
        <v>90</v>
      </c>
      <c r="H17" s="14"/>
      <c r="I17" s="15"/>
      <c r="J17" s="15"/>
      <c r="K17" s="15"/>
      <c r="L17" s="15"/>
      <c r="M17" s="15"/>
      <c r="N17" s="14"/>
      <c r="O17" s="14"/>
      <c r="P17" s="14"/>
      <c r="Q17" s="14"/>
      <c r="R17" s="14"/>
      <c r="S17" s="14"/>
      <c r="T17" s="14"/>
      <c r="U17" s="14"/>
    </row>
    <row r="18" spans="2:21" ht="30" customHeight="1">
      <c r="B18" s="23" t="s">
        <v>98</v>
      </c>
      <c r="C18" s="24" t="s">
        <v>103</v>
      </c>
      <c r="D18" s="24" t="s">
        <v>104</v>
      </c>
      <c r="E18" s="24" t="s">
        <v>89</v>
      </c>
      <c r="F18" s="24" t="s">
        <v>105</v>
      </c>
      <c r="I18" s="25"/>
      <c r="J18" s="25"/>
      <c r="K18" s="25"/>
      <c r="L18" s="25"/>
      <c r="M18" s="25"/>
    </row>
    <row r="19" spans="2:21" ht="30" customHeight="1">
      <c r="B19" s="23" t="s">
        <v>98</v>
      </c>
      <c r="C19" s="24" t="s">
        <v>106</v>
      </c>
      <c r="D19" s="24" t="s">
        <v>107</v>
      </c>
      <c r="E19" s="24" t="s">
        <v>89</v>
      </c>
      <c r="F19" s="24" t="s">
        <v>90</v>
      </c>
      <c r="I19" s="25"/>
      <c r="J19" s="25"/>
      <c r="K19" s="25"/>
      <c r="L19" s="25"/>
      <c r="M19" s="25"/>
    </row>
    <row r="20" spans="2:21" ht="30" customHeight="1">
      <c r="B20" s="23" t="s">
        <v>98</v>
      </c>
      <c r="C20" s="24" t="s">
        <v>108</v>
      </c>
      <c r="D20" s="24" t="s">
        <v>109</v>
      </c>
      <c r="E20" s="24" t="s">
        <v>89</v>
      </c>
      <c r="F20" s="24" t="s">
        <v>90</v>
      </c>
      <c r="G20" s="14"/>
      <c r="H20" s="14"/>
      <c r="I20" s="15"/>
      <c r="J20" s="15"/>
      <c r="K20" s="15"/>
      <c r="L20" s="15"/>
      <c r="M20" s="15"/>
      <c r="N20" s="14"/>
      <c r="O20" s="14"/>
      <c r="P20" s="14"/>
      <c r="Q20" s="14"/>
      <c r="R20" s="14"/>
      <c r="S20" s="14"/>
      <c r="T20" s="14"/>
    </row>
    <row r="21" spans="2:21" ht="30" customHeight="1">
      <c r="B21" s="26" t="s">
        <v>110</v>
      </c>
      <c r="C21" s="27" t="s">
        <v>111</v>
      </c>
      <c r="D21" s="27" t="s">
        <v>112</v>
      </c>
      <c r="E21" s="27" t="s">
        <v>113</v>
      </c>
      <c r="F21" s="27" t="s">
        <v>114</v>
      </c>
      <c r="G21" s="14"/>
      <c r="H21" s="14"/>
      <c r="I21" s="15"/>
      <c r="J21" s="15"/>
      <c r="K21" s="15"/>
      <c r="L21" s="15"/>
      <c r="M21" s="15"/>
      <c r="N21" s="14"/>
      <c r="O21" s="14"/>
      <c r="P21" s="14"/>
      <c r="Q21" s="14"/>
      <c r="R21" s="14"/>
      <c r="S21" s="14"/>
      <c r="T21" s="14"/>
    </row>
    <row r="22" spans="2:21" ht="30" customHeight="1">
      <c r="B22" s="26" t="s">
        <v>110</v>
      </c>
      <c r="C22" s="27" t="s">
        <v>115</v>
      </c>
      <c r="D22" s="27" t="s">
        <v>116</v>
      </c>
      <c r="E22" s="27" t="s">
        <v>117</v>
      </c>
      <c r="F22" s="27" t="s">
        <v>118</v>
      </c>
      <c r="G22" s="14"/>
      <c r="H22" s="14"/>
      <c r="I22" s="15"/>
      <c r="J22" s="15"/>
      <c r="K22" s="15"/>
      <c r="L22" s="15"/>
      <c r="M22" s="15"/>
      <c r="N22" s="14"/>
      <c r="O22" s="14"/>
      <c r="P22" s="14"/>
      <c r="Q22" s="14"/>
      <c r="R22" s="14"/>
      <c r="S22" s="14"/>
      <c r="T22" s="14"/>
    </row>
    <row r="23" spans="2:21" ht="30" customHeight="1">
      <c r="B23" s="26" t="s">
        <v>110</v>
      </c>
      <c r="C23" s="27" t="s">
        <v>119</v>
      </c>
      <c r="D23" s="27" t="s">
        <v>120</v>
      </c>
      <c r="E23" s="27" t="s">
        <v>121</v>
      </c>
      <c r="F23" s="27" t="s">
        <v>122</v>
      </c>
      <c r="G23" s="14"/>
      <c r="H23" s="14"/>
      <c r="I23" s="15"/>
      <c r="J23" s="15"/>
      <c r="K23" s="15"/>
      <c r="L23" s="15"/>
      <c r="M23" s="15"/>
      <c r="N23" s="14"/>
      <c r="O23" s="14"/>
      <c r="P23" s="14"/>
      <c r="Q23" s="14"/>
      <c r="R23" s="14"/>
      <c r="S23" s="14"/>
      <c r="T23" s="14"/>
    </row>
    <row r="24" spans="2:21" ht="30" customHeight="1">
      <c r="B24" s="26" t="s">
        <v>110</v>
      </c>
      <c r="C24" s="27" t="s">
        <v>123</v>
      </c>
      <c r="D24" s="27" t="s">
        <v>124</v>
      </c>
      <c r="E24" s="27" t="s">
        <v>121</v>
      </c>
      <c r="F24" s="27" t="s">
        <v>125</v>
      </c>
      <c r="G24" s="14"/>
      <c r="H24" s="14"/>
      <c r="I24" s="15"/>
      <c r="J24" s="15"/>
      <c r="K24" s="15"/>
      <c r="L24" s="15"/>
      <c r="M24" s="15"/>
      <c r="N24" s="14"/>
      <c r="O24" s="14"/>
      <c r="P24" s="14"/>
      <c r="Q24" s="14"/>
      <c r="R24" s="14"/>
      <c r="S24" s="14"/>
      <c r="T24" s="14"/>
    </row>
    <row r="25" spans="2:21" ht="30" customHeight="1">
      <c r="B25" s="26" t="s">
        <v>110</v>
      </c>
      <c r="C25" s="27" t="s">
        <v>126</v>
      </c>
      <c r="D25" s="27" t="s">
        <v>127</v>
      </c>
      <c r="E25" s="27" t="s">
        <v>69</v>
      </c>
      <c r="F25" s="27" t="s">
        <v>128</v>
      </c>
      <c r="G25" s="14"/>
      <c r="H25" s="14"/>
      <c r="I25" s="15"/>
      <c r="J25" s="15"/>
      <c r="K25" s="15"/>
      <c r="L25" s="15"/>
      <c r="M25" s="15"/>
      <c r="N25" s="14"/>
      <c r="O25" s="14"/>
      <c r="P25" s="14"/>
      <c r="Q25" s="14"/>
      <c r="R25" s="14"/>
      <c r="S25" s="14"/>
      <c r="T25" s="14"/>
    </row>
    <row r="26" spans="2:21" ht="30" customHeight="1">
      <c r="B26" s="26" t="s">
        <v>110</v>
      </c>
      <c r="C26" s="27" t="s">
        <v>129</v>
      </c>
      <c r="D26" s="27" t="s">
        <v>130</v>
      </c>
      <c r="E26" s="27" t="s">
        <v>69</v>
      </c>
      <c r="F26" s="27" t="s">
        <v>131</v>
      </c>
      <c r="G26" s="14"/>
      <c r="H26" s="14"/>
      <c r="I26" s="15"/>
      <c r="J26" s="15"/>
      <c r="K26" s="15"/>
      <c r="L26" s="15"/>
      <c r="M26" s="15"/>
      <c r="N26" s="14"/>
      <c r="O26" s="14"/>
      <c r="P26" s="14"/>
      <c r="Q26" s="14"/>
      <c r="R26" s="14"/>
      <c r="S26" s="14"/>
      <c r="T26" s="14"/>
    </row>
    <row r="27" spans="2:21" ht="30" customHeight="1">
      <c r="B27" s="26" t="s">
        <v>110</v>
      </c>
      <c r="C27" s="27" t="s">
        <v>132</v>
      </c>
      <c r="D27" s="27" t="s">
        <v>133</v>
      </c>
      <c r="E27" s="27" t="s">
        <v>79</v>
      </c>
      <c r="F27" s="27" t="s">
        <v>134</v>
      </c>
      <c r="G27" s="14"/>
      <c r="H27" s="14"/>
      <c r="I27" s="15"/>
      <c r="J27" s="15"/>
      <c r="K27" s="15"/>
      <c r="L27" s="15"/>
      <c r="M27" s="15"/>
      <c r="N27" s="14"/>
      <c r="O27" s="14"/>
      <c r="P27" s="14"/>
      <c r="Q27" s="14"/>
      <c r="R27" s="14"/>
      <c r="S27" s="14"/>
      <c r="T27" s="14"/>
    </row>
    <row r="28" spans="2:21" ht="30" customHeight="1">
      <c r="B28" s="26" t="s">
        <v>110</v>
      </c>
      <c r="C28" s="27" t="s">
        <v>135</v>
      </c>
      <c r="D28" s="27" t="s">
        <v>136</v>
      </c>
      <c r="E28" s="27" t="s">
        <v>137</v>
      </c>
      <c r="F28" s="27" t="s">
        <v>138</v>
      </c>
      <c r="G28" s="14"/>
      <c r="H28" s="14"/>
      <c r="I28" s="15"/>
      <c r="J28" s="15"/>
      <c r="K28" s="15"/>
      <c r="L28" s="15"/>
      <c r="M28" s="15"/>
      <c r="N28" s="14"/>
      <c r="O28" s="14"/>
      <c r="P28" s="14"/>
      <c r="Q28" s="14"/>
      <c r="R28" s="14"/>
      <c r="S28" s="14"/>
      <c r="T28" s="14"/>
    </row>
    <row r="29" spans="2:21" ht="15.75" customHeight="1">
      <c r="G29" s="14"/>
      <c r="H29" s="14"/>
      <c r="I29" s="15"/>
      <c r="J29" s="15"/>
      <c r="K29" s="15"/>
      <c r="L29" s="15"/>
      <c r="M29" s="15"/>
      <c r="N29" s="14"/>
      <c r="O29" s="14"/>
      <c r="P29" s="14"/>
      <c r="Q29" s="14"/>
      <c r="R29" s="14"/>
      <c r="S29" s="14"/>
      <c r="T29" s="14"/>
    </row>
    <row r="30" spans="2:21" ht="15.75" customHeight="1">
      <c r="G30" s="14"/>
      <c r="H30" s="14"/>
      <c r="I30" s="15"/>
      <c r="J30" s="15"/>
      <c r="K30" s="15"/>
      <c r="L30" s="15"/>
      <c r="M30" s="15"/>
      <c r="N30" s="14"/>
      <c r="O30" s="14"/>
      <c r="P30" s="14"/>
      <c r="Q30" s="14"/>
      <c r="R30" s="14"/>
      <c r="S30" s="14"/>
      <c r="T30" s="14"/>
    </row>
    <row r="31" spans="2:21" ht="15.75" customHeight="1">
      <c r="G31" s="14"/>
      <c r="H31" s="14"/>
      <c r="I31" s="15"/>
      <c r="J31" s="15"/>
      <c r="K31" s="15"/>
      <c r="L31" s="15"/>
      <c r="M31" s="15"/>
      <c r="N31" s="14"/>
      <c r="O31" s="14"/>
      <c r="P31" s="14"/>
      <c r="Q31" s="14"/>
      <c r="R31" s="14"/>
      <c r="S31" s="14"/>
      <c r="T31" s="14"/>
    </row>
    <row r="32" spans="2:21" ht="15.75" customHeight="1"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7:22" ht="15.75" customHeight="1"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7:22" ht="15.75" customHeight="1">
      <c r="G34" s="14"/>
      <c r="H34" s="14"/>
      <c r="I34" s="15"/>
      <c r="J34" s="15"/>
      <c r="K34" s="15"/>
      <c r="L34" s="15"/>
      <c r="M34" s="15"/>
      <c r="N34" s="14"/>
      <c r="O34" s="14"/>
      <c r="P34" s="14"/>
      <c r="Q34" s="14"/>
      <c r="R34" s="14"/>
      <c r="S34" s="14"/>
      <c r="T34" s="14"/>
      <c r="U34" s="14"/>
    </row>
    <row r="35" spans="7:22" ht="15.75" customHeight="1">
      <c r="G35" s="14"/>
      <c r="H35" s="14"/>
      <c r="I35" s="15"/>
      <c r="J35" s="15"/>
      <c r="K35" s="15"/>
      <c r="L35" s="15"/>
      <c r="M35" s="15"/>
      <c r="N35" s="14"/>
      <c r="O35" s="14"/>
      <c r="P35" s="14"/>
      <c r="Q35" s="14"/>
      <c r="R35" s="14"/>
      <c r="S35" s="14"/>
      <c r="T35" s="14"/>
      <c r="U35" s="14"/>
    </row>
    <row r="36" spans="7:22" ht="15.75" customHeight="1">
      <c r="H36" s="14"/>
      <c r="I36" s="15"/>
      <c r="J36" s="15"/>
      <c r="K36" s="15"/>
      <c r="L36" s="15"/>
      <c r="M36" s="15"/>
      <c r="N36" s="14"/>
      <c r="O36" s="14"/>
      <c r="P36" s="14"/>
      <c r="Q36" s="14"/>
      <c r="R36" s="14"/>
      <c r="S36" s="14"/>
      <c r="T36" s="14"/>
      <c r="U36" s="14"/>
    </row>
    <row r="37" spans="7:22" ht="15.75" customHeight="1">
      <c r="H37" s="14"/>
      <c r="I37" s="15"/>
      <c r="J37" s="15"/>
      <c r="K37" s="15"/>
      <c r="L37" s="15"/>
      <c r="M37" s="15"/>
      <c r="N37" s="14"/>
      <c r="O37" s="14"/>
      <c r="P37" s="14"/>
      <c r="Q37" s="14"/>
      <c r="R37" s="14"/>
      <c r="S37" s="14"/>
      <c r="T37" s="14"/>
      <c r="U37" s="14"/>
    </row>
    <row r="38" spans="7:22" ht="15.75" customHeight="1">
      <c r="H38" s="14"/>
      <c r="I38" s="15"/>
      <c r="J38" s="15"/>
      <c r="K38" s="15"/>
      <c r="L38" s="15"/>
      <c r="M38" s="15"/>
      <c r="N38" s="14"/>
      <c r="O38" s="14"/>
      <c r="P38" s="14"/>
      <c r="Q38" s="14"/>
      <c r="R38" s="14"/>
      <c r="S38" s="14"/>
      <c r="T38" s="14"/>
      <c r="U38" s="14"/>
    </row>
    <row r="39" spans="7:22" ht="15.75" customHeight="1">
      <c r="H39" s="14"/>
      <c r="I39" s="15"/>
      <c r="J39" s="15"/>
      <c r="K39" s="15"/>
      <c r="L39" s="15"/>
      <c r="M39" s="15"/>
      <c r="N39" s="14"/>
      <c r="O39" s="14"/>
      <c r="P39" s="14"/>
      <c r="Q39" s="14"/>
      <c r="R39" s="14"/>
      <c r="S39" s="14"/>
      <c r="T39" s="14"/>
      <c r="U39" s="14"/>
    </row>
    <row r="40" spans="7:22" ht="15.75" customHeight="1">
      <c r="H40" s="14"/>
      <c r="I40" s="15"/>
      <c r="J40" s="15"/>
      <c r="K40" s="15"/>
      <c r="L40" s="15"/>
      <c r="M40" s="15"/>
      <c r="N40" s="14"/>
      <c r="O40" s="14"/>
      <c r="P40" s="14"/>
      <c r="Q40" s="14"/>
      <c r="R40" s="14"/>
      <c r="S40" s="14"/>
      <c r="T40" s="14"/>
      <c r="U40" s="14"/>
    </row>
    <row r="41" spans="7:22" ht="15.75" customHeight="1">
      <c r="H41" s="14"/>
      <c r="I41" s="15"/>
      <c r="J41" s="15"/>
      <c r="K41" s="15"/>
      <c r="L41" s="15"/>
      <c r="M41" s="15"/>
      <c r="N41" s="14"/>
      <c r="O41" s="14"/>
      <c r="P41" s="14"/>
      <c r="Q41" s="14"/>
      <c r="R41" s="14"/>
      <c r="S41" s="14"/>
      <c r="T41" s="14"/>
      <c r="U41" s="14"/>
    </row>
    <row r="42" spans="7:22" ht="15.75" customHeight="1">
      <c r="H42" s="14"/>
      <c r="I42" s="15"/>
      <c r="J42" s="15"/>
      <c r="K42" s="15"/>
      <c r="L42" s="15"/>
      <c r="M42" s="15"/>
      <c r="N42" s="14"/>
      <c r="O42" s="14"/>
      <c r="P42" s="14"/>
      <c r="Q42" s="14"/>
      <c r="R42" s="14"/>
      <c r="S42" s="14"/>
      <c r="T42" s="14"/>
      <c r="U42" s="14"/>
    </row>
    <row r="43" spans="7:22" ht="15.75" customHeight="1">
      <c r="H43" s="14"/>
      <c r="I43" s="15"/>
      <c r="J43" s="15"/>
      <c r="K43" s="15"/>
      <c r="L43" s="15"/>
      <c r="M43" s="15"/>
      <c r="N43" s="14"/>
      <c r="O43" s="14"/>
      <c r="P43" s="14"/>
      <c r="Q43" s="14"/>
      <c r="R43" s="14"/>
      <c r="S43" s="14"/>
      <c r="T43" s="14"/>
      <c r="U43" s="14"/>
    </row>
    <row r="44" spans="7:22" ht="15.75" customHeight="1">
      <c r="H44" s="14"/>
      <c r="I44" s="15"/>
      <c r="J44" s="15"/>
      <c r="K44" s="15"/>
      <c r="L44" s="15"/>
      <c r="M44" s="15"/>
      <c r="N44" s="14"/>
      <c r="O44" s="14"/>
      <c r="P44" s="14"/>
      <c r="Q44" s="14"/>
      <c r="R44" s="14"/>
      <c r="S44" s="14"/>
      <c r="T44" s="14"/>
      <c r="U44" s="14"/>
      <c r="V44" s="14"/>
    </row>
    <row r="45" spans="7:22" ht="15.75" customHeight="1">
      <c r="I45" s="15"/>
      <c r="J45" s="15"/>
      <c r="K45" s="15"/>
      <c r="L45" s="15"/>
      <c r="M45" s="15"/>
      <c r="N45" s="14"/>
      <c r="O45" s="14"/>
      <c r="P45" s="14"/>
      <c r="Q45" s="14"/>
      <c r="R45" s="14"/>
      <c r="S45" s="14"/>
      <c r="T45" s="14"/>
      <c r="U45" s="14"/>
      <c r="V45" s="14"/>
    </row>
    <row r="46" spans="7:22" ht="15.75" customHeight="1">
      <c r="H46" s="14"/>
      <c r="I46" s="15"/>
      <c r="J46" s="15"/>
      <c r="K46" s="15"/>
      <c r="L46" s="15"/>
      <c r="M46" s="15"/>
      <c r="N46" s="14"/>
      <c r="O46" s="14"/>
      <c r="P46" s="14"/>
      <c r="Q46" s="14"/>
      <c r="R46" s="14"/>
      <c r="S46" s="14"/>
      <c r="T46" s="14"/>
      <c r="U46" s="14"/>
      <c r="V46" s="14"/>
    </row>
    <row r="47" spans="7:22" ht="15.75" customHeight="1">
      <c r="H47" s="14"/>
      <c r="I47" s="15"/>
      <c r="J47" s="15"/>
      <c r="K47" s="15"/>
      <c r="L47" s="15"/>
      <c r="M47" s="15"/>
      <c r="N47" s="14"/>
      <c r="O47" s="14"/>
      <c r="P47" s="14"/>
      <c r="Q47" s="14"/>
      <c r="R47" s="14"/>
      <c r="S47" s="14"/>
      <c r="T47" s="14"/>
      <c r="U47" s="14"/>
      <c r="V47" s="14"/>
    </row>
    <row r="48" spans="7:22" ht="15.75" customHeight="1">
      <c r="H48" s="14"/>
      <c r="I48" s="15"/>
      <c r="J48" s="15"/>
      <c r="K48" s="15"/>
      <c r="L48" s="15"/>
      <c r="M48" s="15"/>
      <c r="N48" s="14"/>
      <c r="O48" s="14"/>
      <c r="P48" s="14"/>
      <c r="Q48" s="14"/>
      <c r="R48" s="14"/>
      <c r="S48" s="14"/>
      <c r="T48" s="14"/>
      <c r="U48" s="14"/>
      <c r="V48" s="14"/>
    </row>
    <row r="49" spans="8:22" ht="15.75" customHeight="1"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8:22" ht="15.75" customHeight="1"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8:22" ht="15.75" customHeight="1"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8:22" ht="15.75" customHeight="1"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8:22" ht="15.75" customHeight="1"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8:22" ht="15.75" customHeight="1"/>
    <row r="55" spans="8:22" ht="15.75" customHeight="1"/>
    <row r="56" spans="8:22" ht="15.75" customHeight="1"/>
    <row r="57" spans="8:22" ht="15.75" customHeight="1"/>
    <row r="58" spans="8:22" ht="15.75" customHeight="1"/>
    <row r="59" spans="8:22" ht="15.75" customHeight="1"/>
    <row r="60" spans="8:22" ht="15.75" customHeight="1"/>
    <row r="61" spans="8:22" ht="15.75" customHeight="1"/>
    <row r="62" spans="8:22" ht="15.75" customHeight="1"/>
    <row r="63" spans="8:22" ht="15.75" customHeight="1"/>
    <row r="64" spans="8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B2:F2"/>
    <mergeCell ref="B3:F3"/>
  </mergeCells>
  <phoneticPr fontId="46" type="noConversion"/>
  <dataValidations count="1">
    <dataValidation type="list" allowBlank="1" sqref="B6:B28" xr:uid="{00000000-0002-0000-0200-000000000000}">
      <formula1>"Must,Should,Could,Won't,제약"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001"/>
  <sheetViews>
    <sheetView showGridLines="0" topLeftCell="A4" workbookViewId="0"/>
  </sheetViews>
  <sheetFormatPr defaultColWidth="14.42578125" defaultRowHeight="15" customHeight="1"/>
  <cols>
    <col min="1" max="1" width="4" customWidth="1"/>
    <col min="2" max="2" width="20" customWidth="1"/>
    <col min="3" max="3" width="54.140625" customWidth="1"/>
    <col min="4" max="6" width="12" customWidth="1"/>
    <col min="7" max="7" width="14" customWidth="1"/>
    <col min="8" max="8" width="12" customWidth="1"/>
    <col min="9" max="10" width="8.7109375" customWidth="1"/>
    <col min="11" max="11" width="26.7109375" customWidth="1"/>
    <col min="12" max="12" width="17.140625" customWidth="1"/>
    <col min="13" max="13" width="18" customWidth="1"/>
    <col min="14" max="14" width="8.7109375" customWidth="1"/>
    <col min="15" max="15" width="14.85546875" customWidth="1"/>
    <col min="16" max="26" width="8.7109375" customWidth="1"/>
  </cols>
  <sheetData>
    <row r="2" spans="2:8" ht="30" customHeight="1">
      <c r="B2" s="65" t="s">
        <v>139</v>
      </c>
      <c r="C2" s="66"/>
      <c r="D2" s="66"/>
      <c r="E2" s="66"/>
      <c r="F2" s="66"/>
      <c r="G2" s="66"/>
      <c r="H2" s="59"/>
    </row>
    <row r="3" spans="2:8" ht="72" customHeight="1">
      <c r="B3" s="71" t="s">
        <v>140</v>
      </c>
      <c r="C3" s="68"/>
      <c r="D3" s="68"/>
      <c r="E3" s="68"/>
      <c r="F3" s="68"/>
      <c r="G3" s="68"/>
      <c r="H3" s="61"/>
    </row>
    <row r="4" spans="2:8" ht="18" customHeight="1">
      <c r="B4" s="72" t="s">
        <v>141</v>
      </c>
      <c r="C4" s="68"/>
      <c r="D4" s="68"/>
      <c r="E4" s="68"/>
      <c r="F4" s="68"/>
      <c r="G4" s="68"/>
      <c r="H4" s="61"/>
    </row>
    <row r="5" spans="2:8" ht="31.5" customHeight="1">
      <c r="B5" s="28" t="s">
        <v>142</v>
      </c>
      <c r="C5" s="28" t="s">
        <v>143</v>
      </c>
      <c r="D5" s="29" t="s">
        <v>144</v>
      </c>
      <c r="E5" s="30" t="s">
        <v>145</v>
      </c>
      <c r="F5" s="30" t="s">
        <v>146</v>
      </c>
      <c r="G5" s="31" t="s">
        <v>147</v>
      </c>
      <c r="H5" s="30" t="s">
        <v>148</v>
      </c>
    </row>
    <row r="6" spans="2:8" ht="33.75" customHeight="1">
      <c r="B6" s="32" t="s">
        <v>149</v>
      </c>
      <c r="C6" s="32" t="s">
        <v>150</v>
      </c>
      <c r="D6" s="33">
        <v>1</v>
      </c>
      <c r="E6" s="34">
        <v>5</v>
      </c>
      <c r="F6" s="35">
        <v>3</v>
      </c>
      <c r="G6" s="9">
        <f t="shared" ref="G6:G14" si="0">IF(OR(E6="",F6=""),"",E6*F6*2)</f>
        <v>30</v>
      </c>
      <c r="H6" s="35" t="s">
        <v>151</v>
      </c>
    </row>
    <row r="7" spans="2:8" ht="33.75" customHeight="1">
      <c r="B7" s="18" t="s">
        <v>87</v>
      </c>
      <c r="C7" s="18" t="s">
        <v>152</v>
      </c>
      <c r="D7" s="36">
        <v>2</v>
      </c>
      <c r="E7" s="37">
        <v>4</v>
      </c>
      <c r="F7" s="38">
        <v>4</v>
      </c>
      <c r="G7" s="39">
        <f t="shared" si="0"/>
        <v>32</v>
      </c>
      <c r="H7" s="38" t="s">
        <v>153</v>
      </c>
    </row>
    <row r="8" spans="2:8" ht="33.75" customHeight="1">
      <c r="B8" s="18" t="s">
        <v>91</v>
      </c>
      <c r="C8" s="18" t="s">
        <v>154</v>
      </c>
      <c r="D8" s="36">
        <v>2</v>
      </c>
      <c r="E8" s="37">
        <v>4</v>
      </c>
      <c r="F8" s="38">
        <v>4</v>
      </c>
      <c r="G8" s="39">
        <f t="shared" si="0"/>
        <v>32</v>
      </c>
      <c r="H8" s="38" t="s">
        <v>153</v>
      </c>
    </row>
    <row r="9" spans="2:8" ht="33.75" customHeight="1">
      <c r="B9" s="32" t="s">
        <v>101</v>
      </c>
      <c r="C9" s="32" t="s">
        <v>155</v>
      </c>
      <c r="D9" s="33">
        <v>2</v>
      </c>
      <c r="E9" s="34">
        <v>4</v>
      </c>
      <c r="F9" s="35">
        <v>3</v>
      </c>
      <c r="G9" s="9">
        <f t="shared" si="0"/>
        <v>24</v>
      </c>
      <c r="H9" s="35" t="s">
        <v>151</v>
      </c>
    </row>
    <row r="10" spans="2:8" ht="33.75" customHeight="1">
      <c r="B10" s="32" t="s">
        <v>99</v>
      </c>
      <c r="C10" s="32" t="s">
        <v>156</v>
      </c>
      <c r="D10" s="33">
        <v>2</v>
      </c>
      <c r="E10" s="34">
        <v>4</v>
      </c>
      <c r="F10" s="35">
        <v>3</v>
      </c>
      <c r="G10" s="9">
        <f t="shared" si="0"/>
        <v>24</v>
      </c>
      <c r="H10" s="35" t="s">
        <v>151</v>
      </c>
    </row>
    <row r="11" spans="2:8" ht="33.75" customHeight="1">
      <c r="B11" s="32" t="s">
        <v>157</v>
      </c>
      <c r="C11" s="32" t="s">
        <v>158</v>
      </c>
      <c r="D11" s="33">
        <v>3</v>
      </c>
      <c r="E11" s="34">
        <v>3</v>
      </c>
      <c r="F11" s="35">
        <v>4</v>
      </c>
      <c r="G11" s="9">
        <f t="shared" si="0"/>
        <v>24</v>
      </c>
      <c r="H11" s="35" t="s">
        <v>151</v>
      </c>
    </row>
    <row r="12" spans="2:8" ht="33.75" customHeight="1">
      <c r="B12" s="40" t="s">
        <v>94</v>
      </c>
      <c r="C12" s="40" t="s">
        <v>159</v>
      </c>
      <c r="D12" s="41">
        <v>3</v>
      </c>
      <c r="E12" s="42">
        <v>3</v>
      </c>
      <c r="F12" s="43">
        <v>5</v>
      </c>
      <c r="G12" s="44">
        <f t="shared" si="0"/>
        <v>30</v>
      </c>
      <c r="H12" s="43" t="s">
        <v>153</v>
      </c>
    </row>
    <row r="13" spans="2:8" ht="33.75" customHeight="1">
      <c r="B13" s="32" t="s">
        <v>103</v>
      </c>
      <c r="C13" s="32" t="s">
        <v>160</v>
      </c>
      <c r="D13" s="33">
        <v>3</v>
      </c>
      <c r="E13" s="34">
        <v>3</v>
      </c>
      <c r="F13" s="35">
        <v>2</v>
      </c>
      <c r="G13" s="9">
        <f t="shared" si="0"/>
        <v>12</v>
      </c>
      <c r="H13" s="35" t="s">
        <v>161</v>
      </c>
    </row>
    <row r="14" spans="2:8" ht="33.75" customHeight="1">
      <c r="B14" s="32" t="s">
        <v>106</v>
      </c>
      <c r="C14" s="32" t="s">
        <v>162</v>
      </c>
      <c r="D14" s="33">
        <v>4</v>
      </c>
      <c r="E14" s="34">
        <v>2</v>
      </c>
      <c r="F14" s="35">
        <v>5</v>
      </c>
      <c r="G14" s="9">
        <f t="shared" si="0"/>
        <v>20</v>
      </c>
      <c r="H14" s="35" t="s">
        <v>161</v>
      </c>
    </row>
    <row r="16" spans="2:8" ht="118.5" customHeight="1">
      <c r="B16" s="45" t="s">
        <v>163</v>
      </c>
      <c r="C16" s="73" t="s">
        <v>164</v>
      </c>
      <c r="D16" s="68"/>
      <c r="E16" s="68"/>
      <c r="F16" s="68"/>
      <c r="G16" s="68"/>
      <c r="H16" s="6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B2:H2"/>
    <mergeCell ref="B3:H3"/>
    <mergeCell ref="B4:H4"/>
    <mergeCell ref="C16:H16"/>
  </mergeCells>
  <phoneticPr fontId="46" type="noConversion"/>
  <conditionalFormatting sqref="G6:G14">
    <cfRule type="expression" dxfId="1" priority="1">
      <formula>AND(G6&lt;&gt;"",G6&gt;=32)</formula>
    </cfRule>
  </conditionalFormatting>
  <dataValidations count="2">
    <dataValidation type="list" allowBlank="1" sqref="E6:F14" xr:uid="{00000000-0002-0000-0300-000000000000}">
      <formula1>"1,2,3,4,5"</formula1>
    </dataValidation>
    <dataValidation type="list" allowBlank="1" sqref="H6:H14" xr:uid="{00000000-0002-0000-0300-000001000000}">
      <formula1>"선정,보류,제외"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U1003"/>
  <sheetViews>
    <sheetView showGridLines="0" topLeftCell="A13" workbookViewId="0"/>
  </sheetViews>
  <sheetFormatPr defaultColWidth="14.42578125" defaultRowHeight="15" customHeight="1"/>
  <cols>
    <col min="1" max="1" width="4" customWidth="1"/>
    <col min="2" max="2" width="16" customWidth="1"/>
    <col min="3" max="3" width="88.5703125" customWidth="1"/>
    <col min="4" max="4" width="4" customWidth="1"/>
    <col min="5" max="26" width="8.7109375" customWidth="1"/>
  </cols>
  <sheetData>
    <row r="2" spans="2:3" ht="30" customHeight="1">
      <c r="B2" s="74" t="s">
        <v>165</v>
      </c>
      <c r="C2" s="59"/>
    </row>
    <row r="3" spans="2:3" ht="18" customHeight="1">
      <c r="B3" s="75" t="s">
        <v>166</v>
      </c>
      <c r="C3" s="61"/>
    </row>
    <row r="4" spans="2:3" ht="30" customHeight="1">
      <c r="B4" s="1" t="s">
        <v>167</v>
      </c>
      <c r="C4" s="46" t="s">
        <v>168</v>
      </c>
    </row>
    <row r="5" spans="2:3" ht="30" customHeight="1">
      <c r="B5" s="1" t="s">
        <v>169</v>
      </c>
      <c r="C5" s="46" t="s">
        <v>170</v>
      </c>
    </row>
    <row r="6" spans="2:3" ht="30" customHeight="1">
      <c r="B6" s="1" t="s">
        <v>171</v>
      </c>
      <c r="C6" s="46" t="s">
        <v>172</v>
      </c>
    </row>
    <row r="7" spans="2:3" ht="30" customHeight="1">
      <c r="B7" s="1" t="s">
        <v>173</v>
      </c>
      <c r="C7" s="46" t="s">
        <v>174</v>
      </c>
    </row>
    <row r="9" spans="2:3" ht="15" customHeight="1">
      <c r="B9" s="76" t="s">
        <v>175</v>
      </c>
      <c r="C9" s="61"/>
    </row>
    <row r="10" spans="2:3" ht="25.5" customHeight="1">
      <c r="B10" s="63" t="s">
        <v>176</v>
      </c>
      <c r="C10" s="61"/>
    </row>
    <row r="11" spans="2:3" ht="25.5" customHeight="1">
      <c r="B11" s="63" t="s">
        <v>177</v>
      </c>
      <c r="C11" s="61"/>
    </row>
    <row r="12" spans="2:3" ht="25.5" customHeight="1">
      <c r="B12" s="63" t="s">
        <v>178</v>
      </c>
      <c r="C12" s="61"/>
    </row>
    <row r="13" spans="2:3" ht="25.5" customHeight="1">
      <c r="B13" s="63" t="s">
        <v>179</v>
      </c>
      <c r="C13" s="61"/>
    </row>
    <row r="14" spans="2:3" ht="25.5" customHeight="1">
      <c r="B14" s="63" t="s">
        <v>180</v>
      </c>
      <c r="C14" s="61"/>
    </row>
    <row r="15" spans="2:3" ht="25.5" customHeight="1">
      <c r="B15" s="63" t="s">
        <v>180</v>
      </c>
      <c r="C15" s="61"/>
    </row>
    <row r="16" spans="2:3" ht="25.5" customHeight="1">
      <c r="B16" s="47"/>
      <c r="C16" s="47"/>
    </row>
    <row r="18" spans="2:21" ht="15" customHeight="1">
      <c r="B18" s="79" t="s">
        <v>181</v>
      </c>
      <c r="C18" s="61"/>
    </row>
    <row r="19" spans="2:21" ht="25.5" customHeight="1">
      <c r="B19" s="63" t="s">
        <v>182</v>
      </c>
      <c r="C19" s="6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2:21" ht="25.5" customHeight="1">
      <c r="B20" s="63" t="s">
        <v>183</v>
      </c>
      <c r="C20" s="61"/>
      <c r="H20" s="14"/>
      <c r="I20" s="15"/>
      <c r="J20" s="15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2:21" ht="25.5" customHeight="1">
      <c r="B21" s="63" t="s">
        <v>184</v>
      </c>
      <c r="C21" s="61"/>
      <c r="H21" s="14"/>
      <c r="I21" s="15"/>
      <c r="J21" s="15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2:21" ht="25.5" customHeight="1">
      <c r="B22" s="63" t="s">
        <v>185</v>
      </c>
      <c r="C22" s="61"/>
      <c r="H22" s="14"/>
      <c r="I22" s="15"/>
      <c r="J22" s="15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2:21"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2:21" ht="15" customHeight="1">
      <c r="B24" s="77" t="s">
        <v>186</v>
      </c>
      <c r="C24" s="61"/>
      <c r="H24" s="14"/>
      <c r="I24" s="15"/>
      <c r="J24" s="15"/>
      <c r="K24" s="15"/>
      <c r="L24" s="15"/>
      <c r="M24" s="14"/>
      <c r="N24" s="14"/>
      <c r="O24" s="14"/>
      <c r="P24" s="14"/>
      <c r="Q24" s="14"/>
      <c r="R24" s="14"/>
      <c r="S24" s="14"/>
      <c r="T24" s="14"/>
      <c r="U24" s="14"/>
    </row>
    <row r="25" spans="2:21" ht="25.5" customHeight="1">
      <c r="B25" s="78" t="s">
        <v>187</v>
      </c>
      <c r="C25" s="61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</row>
    <row r="26" spans="2:21" ht="25.5" customHeight="1">
      <c r="B26" s="78" t="s">
        <v>188</v>
      </c>
      <c r="C26" s="61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2:21" ht="25.5" customHeight="1">
      <c r="B27" s="78" t="s">
        <v>189</v>
      </c>
      <c r="C27" s="61"/>
    </row>
    <row r="28" spans="2:21" ht="29.25" customHeight="1">
      <c r="B28" s="78" t="s">
        <v>190</v>
      </c>
      <c r="C28" s="61"/>
    </row>
    <row r="29" spans="2:21" ht="27" customHeight="1">
      <c r="B29" s="78" t="s">
        <v>191</v>
      </c>
      <c r="C29" s="61"/>
    </row>
    <row r="30" spans="2:21" ht="15.75" customHeight="1"/>
    <row r="31" spans="2:21" ht="15.75" customHeight="1"/>
    <row r="32" spans="2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0">
    <mergeCell ref="B27:C27"/>
    <mergeCell ref="B28:C28"/>
    <mergeCell ref="B29:C29"/>
    <mergeCell ref="B14:C14"/>
    <mergeCell ref="B15:C15"/>
    <mergeCell ref="B18:C18"/>
    <mergeCell ref="B19:C19"/>
    <mergeCell ref="B20:C20"/>
    <mergeCell ref="B21:C21"/>
    <mergeCell ref="B22:C22"/>
    <mergeCell ref="B12:C12"/>
    <mergeCell ref="B13:C13"/>
    <mergeCell ref="B24:C24"/>
    <mergeCell ref="B25:C25"/>
    <mergeCell ref="B26:C26"/>
    <mergeCell ref="B2:C2"/>
    <mergeCell ref="B3:C3"/>
    <mergeCell ref="B9:C9"/>
    <mergeCell ref="B10:C10"/>
    <mergeCell ref="B11:C11"/>
  </mergeCells>
  <phoneticPr fontId="46" type="noConversion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U997"/>
  <sheetViews>
    <sheetView showGridLines="0" tabSelected="1" topLeftCell="A4" workbookViewId="0">
      <selection activeCell="G17" sqref="G17"/>
    </sheetView>
  </sheetViews>
  <sheetFormatPr defaultColWidth="14.42578125" defaultRowHeight="15" customHeight="1"/>
  <cols>
    <col min="1" max="1" width="4" customWidth="1"/>
    <col min="2" max="2" width="4.28515625" customWidth="1"/>
    <col min="3" max="3" width="10.5703125" customWidth="1"/>
    <col min="4" max="4" width="40.42578125" customWidth="1"/>
    <col min="5" max="5" width="10.140625" customWidth="1"/>
    <col min="6" max="7" width="12.85546875" customWidth="1"/>
    <col min="8" max="9" width="8" customWidth="1"/>
    <col min="10" max="10" width="7.42578125" customWidth="1"/>
    <col min="11" max="11" width="7.5703125" customWidth="1"/>
    <col min="12" max="12" width="7.28515625" customWidth="1"/>
    <col min="13" max="19" width="8.7109375" customWidth="1"/>
    <col min="20" max="20" width="27" customWidth="1"/>
    <col min="21" max="26" width="8.7109375" customWidth="1"/>
  </cols>
  <sheetData>
    <row r="2" spans="2:21" ht="27.75" customHeight="1">
      <c r="B2" s="84" t="s">
        <v>192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59"/>
    </row>
    <row r="3" spans="2:21" ht="79.5" customHeight="1">
      <c r="B3" s="85" t="s">
        <v>193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1"/>
      <c r="P3" s="48"/>
      <c r="Q3" s="48"/>
      <c r="R3" s="48"/>
      <c r="S3" s="48"/>
      <c r="T3" s="48"/>
      <c r="U3" s="48"/>
    </row>
    <row r="4" spans="2:21" ht="25.5" customHeight="1">
      <c r="B4" s="49" t="s">
        <v>194</v>
      </c>
      <c r="C4" s="30" t="s">
        <v>195</v>
      </c>
      <c r="D4" s="30" t="s">
        <v>196</v>
      </c>
      <c r="E4" s="30" t="s">
        <v>197</v>
      </c>
      <c r="F4" s="30" t="s">
        <v>198</v>
      </c>
      <c r="G4" s="30" t="s">
        <v>199</v>
      </c>
      <c r="H4" s="50" t="s">
        <v>200</v>
      </c>
      <c r="I4" s="51" t="s">
        <v>201</v>
      </c>
      <c r="J4" s="30" t="s">
        <v>202</v>
      </c>
      <c r="K4" s="52">
        <v>1</v>
      </c>
      <c r="L4" s="52">
        <v>2</v>
      </c>
      <c r="M4" s="52">
        <v>3</v>
      </c>
      <c r="S4" s="53"/>
      <c r="T4" s="53"/>
    </row>
    <row r="5" spans="2:21" ht="30" customHeight="1">
      <c r="B5" s="9">
        <v>1</v>
      </c>
      <c r="C5" s="35" t="s">
        <v>203</v>
      </c>
      <c r="D5" s="32" t="s">
        <v>204</v>
      </c>
      <c r="E5" s="32" t="s">
        <v>205</v>
      </c>
      <c r="F5" s="54">
        <v>46217</v>
      </c>
      <c r="G5" s="54">
        <v>46217</v>
      </c>
      <c r="H5" s="9">
        <f t="shared" ref="H5:H8" si="0">IF(OR(F5="",G5=""),"",G5-F5+1)</f>
        <v>1</v>
      </c>
      <c r="I5" s="35">
        <v>100</v>
      </c>
      <c r="J5" s="35" t="s">
        <v>206</v>
      </c>
      <c r="K5" s="55"/>
      <c r="L5" s="3"/>
      <c r="M5" s="3"/>
      <c r="S5" s="53"/>
      <c r="T5" s="53"/>
    </row>
    <row r="6" spans="2:21" ht="30" customHeight="1">
      <c r="B6" s="9">
        <v>2</v>
      </c>
      <c r="C6" s="35" t="s">
        <v>203</v>
      </c>
      <c r="D6" s="32" t="s">
        <v>207</v>
      </c>
      <c r="E6" s="32" t="s">
        <v>205</v>
      </c>
      <c r="F6" s="54">
        <v>46217</v>
      </c>
      <c r="G6" s="54">
        <v>46217</v>
      </c>
      <c r="H6" s="9">
        <f t="shared" si="0"/>
        <v>1</v>
      </c>
      <c r="I6" s="35">
        <v>100</v>
      </c>
      <c r="J6" s="35" t="s">
        <v>206</v>
      </c>
      <c r="K6" s="55"/>
      <c r="L6" s="3"/>
      <c r="M6" s="3"/>
      <c r="S6" s="53"/>
      <c r="T6" s="53"/>
    </row>
    <row r="7" spans="2:21" ht="30" customHeight="1">
      <c r="B7" s="9">
        <v>3</v>
      </c>
      <c r="C7" s="35" t="s">
        <v>208</v>
      </c>
      <c r="D7" s="32" t="s">
        <v>209</v>
      </c>
      <c r="E7" s="32" t="s">
        <v>210</v>
      </c>
      <c r="F7" s="54">
        <v>46217</v>
      </c>
      <c r="G7" s="54">
        <v>46217</v>
      </c>
      <c r="H7" s="9">
        <f t="shared" si="0"/>
        <v>1</v>
      </c>
      <c r="I7" s="35">
        <v>100</v>
      </c>
      <c r="J7" s="35" t="s">
        <v>206</v>
      </c>
      <c r="K7" s="55"/>
      <c r="L7" s="3"/>
      <c r="M7" s="3"/>
      <c r="S7" s="53"/>
      <c r="T7" s="53"/>
    </row>
    <row r="8" spans="2:21" ht="30" customHeight="1">
      <c r="B8" s="9">
        <v>4</v>
      </c>
      <c r="C8" s="35" t="s">
        <v>211</v>
      </c>
      <c r="D8" s="32" t="s">
        <v>212</v>
      </c>
      <c r="E8" s="32" t="s">
        <v>210</v>
      </c>
      <c r="F8" s="54">
        <v>46217</v>
      </c>
      <c r="G8" s="54">
        <v>46217</v>
      </c>
      <c r="H8" s="9">
        <f t="shared" si="0"/>
        <v>1</v>
      </c>
      <c r="I8" s="35">
        <v>100</v>
      </c>
      <c r="J8" s="35" t="s">
        <v>206</v>
      </c>
      <c r="K8" s="3"/>
      <c r="L8" s="55"/>
      <c r="M8" s="3"/>
      <c r="S8" s="53"/>
      <c r="T8" s="53"/>
    </row>
    <row r="9" spans="2:21" ht="30" customHeight="1">
      <c r="B9" s="9">
        <v>5</v>
      </c>
      <c r="C9" s="35" t="s">
        <v>211</v>
      </c>
      <c r="D9" s="32" t="s">
        <v>213</v>
      </c>
      <c r="E9" s="32" t="s">
        <v>210</v>
      </c>
      <c r="F9" s="54">
        <v>46217</v>
      </c>
      <c r="G9" s="54">
        <v>46218</v>
      </c>
      <c r="H9" s="35">
        <v>2</v>
      </c>
      <c r="I9" s="35">
        <v>100</v>
      </c>
      <c r="J9" s="35" t="s">
        <v>206</v>
      </c>
      <c r="K9" s="3"/>
      <c r="L9" s="55"/>
      <c r="M9" s="55"/>
      <c r="S9" s="53"/>
      <c r="T9" s="53"/>
    </row>
    <row r="10" spans="2:21" ht="30" customHeight="1">
      <c r="B10" s="9">
        <v>6</v>
      </c>
      <c r="C10" s="35" t="s">
        <v>211</v>
      </c>
      <c r="D10" s="32" t="s">
        <v>214</v>
      </c>
      <c r="E10" s="32" t="s">
        <v>210</v>
      </c>
      <c r="F10" s="54">
        <v>46218</v>
      </c>
      <c r="G10" s="54">
        <v>46218</v>
      </c>
      <c r="H10" s="9">
        <f t="shared" ref="H10:H15" si="1">IF(OR(F10="",G10=""),"",G10-F10+1)</f>
        <v>1</v>
      </c>
      <c r="I10" s="35">
        <v>100</v>
      </c>
      <c r="J10" s="35" t="s">
        <v>206</v>
      </c>
      <c r="K10" s="3"/>
      <c r="L10" s="55"/>
      <c r="M10" s="55"/>
      <c r="S10" s="53"/>
      <c r="T10" s="53"/>
    </row>
    <row r="11" spans="2:21" ht="30" customHeight="1">
      <c r="B11" s="9">
        <v>7</v>
      </c>
      <c r="C11" s="35" t="s">
        <v>211</v>
      </c>
      <c r="D11" s="32" t="s">
        <v>215</v>
      </c>
      <c r="E11" s="32" t="s">
        <v>210</v>
      </c>
      <c r="F11" s="54">
        <v>46218</v>
      </c>
      <c r="G11" s="54">
        <v>46219</v>
      </c>
      <c r="H11" s="9">
        <f t="shared" si="1"/>
        <v>2</v>
      </c>
      <c r="I11" s="35">
        <v>100</v>
      </c>
      <c r="J11" s="35" t="s">
        <v>206</v>
      </c>
      <c r="K11" s="3"/>
      <c r="L11" s="55"/>
      <c r="M11" s="3"/>
      <c r="S11" s="53"/>
      <c r="T11" s="53"/>
    </row>
    <row r="12" spans="2:21" ht="30" customHeight="1">
      <c r="B12" s="9">
        <v>8</v>
      </c>
      <c r="C12" s="35" t="s">
        <v>216</v>
      </c>
      <c r="D12" s="32" t="s">
        <v>217</v>
      </c>
      <c r="E12" s="32" t="s">
        <v>205</v>
      </c>
      <c r="F12" s="54">
        <v>46219</v>
      </c>
      <c r="G12" s="54">
        <v>46219</v>
      </c>
      <c r="H12" s="9">
        <f t="shared" si="1"/>
        <v>1</v>
      </c>
      <c r="I12" s="35">
        <v>100</v>
      </c>
      <c r="J12" s="35" t="s">
        <v>206</v>
      </c>
      <c r="K12" s="3"/>
      <c r="L12" s="55"/>
      <c r="M12" s="3"/>
      <c r="S12" s="53"/>
      <c r="T12" s="53"/>
    </row>
    <row r="13" spans="2:21" ht="30" customHeight="1">
      <c r="B13" s="9">
        <v>9</v>
      </c>
      <c r="C13" s="35" t="s">
        <v>218</v>
      </c>
      <c r="D13" s="32" t="s">
        <v>219</v>
      </c>
      <c r="E13" s="32" t="s">
        <v>210</v>
      </c>
      <c r="F13" s="54">
        <v>46219</v>
      </c>
      <c r="G13" s="54">
        <v>46219</v>
      </c>
      <c r="H13" s="9">
        <f t="shared" si="1"/>
        <v>1</v>
      </c>
      <c r="I13" s="35">
        <v>100</v>
      </c>
      <c r="J13" s="35" t="s">
        <v>206</v>
      </c>
      <c r="K13" s="3"/>
      <c r="L13" s="3"/>
      <c r="M13" s="55"/>
      <c r="S13" s="53"/>
      <c r="T13" s="53"/>
    </row>
    <row r="14" spans="2:21" ht="30" customHeight="1">
      <c r="B14" s="9">
        <v>10</v>
      </c>
      <c r="C14" s="35" t="s">
        <v>220</v>
      </c>
      <c r="D14" s="32" t="s">
        <v>221</v>
      </c>
      <c r="E14" s="32" t="s">
        <v>205</v>
      </c>
      <c r="F14" s="54">
        <v>46218</v>
      </c>
      <c r="G14" s="54">
        <v>46219</v>
      </c>
      <c r="H14" s="9">
        <f t="shared" si="1"/>
        <v>2</v>
      </c>
      <c r="I14" s="35">
        <v>100</v>
      </c>
      <c r="J14" s="35" t="s">
        <v>206</v>
      </c>
      <c r="K14" s="3"/>
      <c r="L14" s="3"/>
      <c r="M14" s="55"/>
      <c r="S14" s="53"/>
      <c r="T14" s="56"/>
    </row>
    <row r="15" spans="2:21" ht="30" customHeight="1">
      <c r="B15" s="9">
        <v>11</v>
      </c>
      <c r="C15" s="35" t="s">
        <v>223</v>
      </c>
      <c r="D15" s="32" t="s">
        <v>224</v>
      </c>
      <c r="E15" s="32" t="s">
        <v>205</v>
      </c>
      <c r="F15" s="54">
        <v>46219</v>
      </c>
      <c r="G15" s="54">
        <v>46219</v>
      </c>
      <c r="H15" s="9">
        <f t="shared" si="1"/>
        <v>1</v>
      </c>
      <c r="I15" s="35">
        <v>80</v>
      </c>
      <c r="J15" s="35" t="s">
        <v>222</v>
      </c>
      <c r="K15" s="3"/>
      <c r="L15" s="3"/>
      <c r="M15" s="55"/>
    </row>
    <row r="17" spans="2:5" ht="15" customHeight="1">
      <c r="B17" s="86" t="s">
        <v>225</v>
      </c>
      <c r="C17" s="59"/>
    </row>
    <row r="18" spans="2:5" ht="15" customHeight="1">
      <c r="B18" s="87" t="s">
        <v>203</v>
      </c>
      <c r="C18" s="59"/>
      <c r="E18" s="57"/>
    </row>
    <row r="19" spans="2:5" ht="15" customHeight="1">
      <c r="B19" s="88" t="s">
        <v>208</v>
      </c>
      <c r="C19" s="59"/>
    </row>
    <row r="20" spans="2:5" ht="15" customHeight="1">
      <c r="B20" s="89" t="s">
        <v>211</v>
      </c>
      <c r="C20" s="59"/>
    </row>
    <row r="21" spans="2:5" ht="15" customHeight="1">
      <c r="B21" s="90" t="s">
        <v>218</v>
      </c>
      <c r="C21" s="59"/>
    </row>
    <row r="22" spans="2:5" ht="15" customHeight="1">
      <c r="B22" s="80" t="s">
        <v>216</v>
      </c>
      <c r="C22" s="59"/>
    </row>
    <row r="23" spans="2:5" ht="15" customHeight="1">
      <c r="B23" s="81" t="s">
        <v>220</v>
      </c>
      <c r="C23" s="59"/>
    </row>
    <row r="24" spans="2:5" ht="15" customHeight="1">
      <c r="B24" s="82" t="s">
        <v>223</v>
      </c>
      <c r="C24" s="59"/>
    </row>
    <row r="25" spans="2:5" ht="15" customHeight="1">
      <c r="B25" s="83" t="s">
        <v>226</v>
      </c>
      <c r="C25" s="5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">
    <mergeCell ref="B22:C22"/>
    <mergeCell ref="B23:C23"/>
    <mergeCell ref="B24:C24"/>
    <mergeCell ref="B25:C25"/>
    <mergeCell ref="B2:M2"/>
    <mergeCell ref="B3:M3"/>
    <mergeCell ref="B17:C17"/>
    <mergeCell ref="B18:C18"/>
    <mergeCell ref="B19:C19"/>
    <mergeCell ref="B20:C20"/>
    <mergeCell ref="B21:C21"/>
  </mergeCells>
  <phoneticPr fontId="46" type="noConversion"/>
  <conditionalFormatting sqref="K5:M15">
    <cfRule type="expression" dxfId="0" priority="1">
      <formula>AND(K$4&gt;=$F5,K$4&lt;=$G5)</formula>
    </cfRule>
  </conditionalFormatting>
  <dataValidations count="2">
    <dataValidation type="list" allowBlank="1" sqref="J5:J15" xr:uid="{00000000-0002-0000-0500-000000000000}">
      <formula1>"예정,진행중,완료"</formula1>
    </dataValidation>
    <dataValidation type="list" allowBlank="1" sqref="C5:C15" xr:uid="{00000000-0002-0000-0500-000001000000}">
      <formula1>"기획,설계,개발,배포,테스트,문서화,발표준비"</formula1>
    </dataValidation>
  </dataValidation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1000"/>
  <sheetViews>
    <sheetView showGridLines="0" workbookViewId="0"/>
  </sheetViews>
  <sheetFormatPr defaultColWidth="14.42578125" defaultRowHeight="15" customHeight="1"/>
  <cols>
    <col min="1" max="1" width="4" customWidth="1"/>
    <col min="2" max="2" width="26" customWidth="1"/>
    <col min="3" max="3" width="78" customWidth="1"/>
    <col min="4" max="26" width="8.7109375" customWidth="1"/>
  </cols>
  <sheetData>
    <row r="2" spans="2:3" ht="30" customHeight="1">
      <c r="B2" s="65" t="s">
        <v>227</v>
      </c>
      <c r="C2" s="59"/>
    </row>
    <row r="3" spans="2:3" ht="19.5" customHeight="1">
      <c r="B3" s="72" t="s">
        <v>228</v>
      </c>
      <c r="C3" s="61"/>
    </row>
    <row r="5" spans="2:3" ht="19.5" customHeight="1">
      <c r="B5" s="5" t="s">
        <v>229</v>
      </c>
      <c r="C5" s="5" t="s">
        <v>230</v>
      </c>
    </row>
    <row r="6" spans="2:3" ht="30" customHeight="1">
      <c r="B6" s="4" t="s">
        <v>231</v>
      </c>
      <c r="C6" s="2" t="s">
        <v>232</v>
      </c>
    </row>
    <row r="7" spans="2:3" ht="30" customHeight="1">
      <c r="B7" s="4" t="s">
        <v>233</v>
      </c>
      <c r="C7" s="2" t="s">
        <v>234</v>
      </c>
    </row>
    <row r="8" spans="2:3" ht="30" customHeight="1">
      <c r="B8" s="4" t="s">
        <v>235</v>
      </c>
      <c r="C8" s="2" t="s">
        <v>236</v>
      </c>
    </row>
    <row r="9" spans="2:3" ht="30" customHeight="1">
      <c r="B9" s="1" t="s">
        <v>237</v>
      </c>
      <c r="C9" s="2" t="s">
        <v>238</v>
      </c>
    </row>
    <row r="10" spans="2:3" ht="30" customHeight="1">
      <c r="B10" s="4" t="s">
        <v>239</v>
      </c>
      <c r="C10" s="2" t="s">
        <v>240</v>
      </c>
    </row>
    <row r="11" spans="2:3" ht="30" customHeight="1">
      <c r="B11" s="4" t="s">
        <v>241</v>
      </c>
      <c r="C11" s="2" t="s">
        <v>242</v>
      </c>
    </row>
    <row r="12" spans="2:3" ht="30" customHeight="1">
      <c r="B12" s="4" t="s">
        <v>243</v>
      </c>
      <c r="C12" s="2" t="s">
        <v>244</v>
      </c>
    </row>
    <row r="13" spans="2:3" ht="30" customHeight="1">
      <c r="B13" s="1" t="s">
        <v>245</v>
      </c>
      <c r="C13" s="2" t="s">
        <v>246</v>
      </c>
    </row>
    <row r="14" spans="2:3" ht="30" customHeight="1">
      <c r="B14" s="4" t="s">
        <v>247</v>
      </c>
      <c r="C14" s="2" t="s">
        <v>248</v>
      </c>
    </row>
    <row r="15" spans="2:3" ht="30" customHeight="1">
      <c r="B15" s="1" t="s">
        <v>249</v>
      </c>
      <c r="C15" s="2" t="s">
        <v>250</v>
      </c>
    </row>
    <row r="16" spans="2:3" ht="30" customHeight="1">
      <c r="B16" s="1" t="s">
        <v>251</v>
      </c>
      <c r="C16" s="2" t="s">
        <v>252</v>
      </c>
    </row>
    <row r="17" spans="2:3" ht="30" customHeight="1">
      <c r="B17" s="4" t="s">
        <v>253</v>
      </c>
      <c r="C17" s="2" t="s">
        <v>254</v>
      </c>
    </row>
    <row r="18" spans="2:3" ht="30" customHeight="1">
      <c r="B18" s="1" t="s">
        <v>255</v>
      </c>
      <c r="C18" s="2" t="s">
        <v>256</v>
      </c>
    </row>
    <row r="19" spans="2:3" ht="30" customHeight="1">
      <c r="B19" s="1" t="s">
        <v>257</v>
      </c>
      <c r="C19" s="2" t="s">
        <v>258</v>
      </c>
    </row>
    <row r="20" spans="2:3" ht="30" customHeight="1">
      <c r="B20" s="1" t="s">
        <v>259</v>
      </c>
      <c r="C20" s="2" t="s">
        <v>260</v>
      </c>
    </row>
    <row r="21" spans="2:3" ht="30" customHeight="1">
      <c r="B21" s="1" t="s">
        <v>261</v>
      </c>
      <c r="C21" s="3" t="s">
        <v>262</v>
      </c>
    </row>
    <row r="22" spans="2:3" ht="30" customHeight="1">
      <c r="B22" s="1" t="s">
        <v>263</v>
      </c>
      <c r="C22" s="2" t="s">
        <v>264</v>
      </c>
    </row>
    <row r="23" spans="2:3" ht="30" customHeight="1">
      <c r="B23" s="4" t="s">
        <v>265</v>
      </c>
      <c r="C23" s="2" t="s">
        <v>266</v>
      </c>
    </row>
    <row r="24" spans="2:3" ht="30" customHeight="1">
      <c r="B24" s="4" t="s">
        <v>267</v>
      </c>
      <c r="C24" s="2" t="s">
        <v>268</v>
      </c>
    </row>
    <row r="25" spans="2:3" ht="30" customHeight="1">
      <c r="B25" s="4" t="s">
        <v>269</v>
      </c>
      <c r="C25" s="2" t="s">
        <v>270</v>
      </c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3:C3"/>
  </mergeCells>
  <phoneticPr fontId="46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2026-07-04T14:47:43Z</dcterms:created>
  <dcterms:modified xsi:type="dcterms:W3CDTF">2026-07-16T02:32:02Z</dcterms:modified>
</cp:coreProperties>
</file>